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e121df15a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334da76fd24033"/>
    <x:sheet xmlns:r="http://schemas.openxmlformats.org/officeDocument/2006/relationships" name="INPUTS" sheetId="2" r:id="R752a7e95d4d3471c"/>
    <x:sheet xmlns:r="http://schemas.openxmlformats.org/officeDocument/2006/relationships" name="FEASIBILITY" sheetId="3" r:id="R7bdea7fd9ee14423"/>
    <x:sheet xmlns:r="http://schemas.openxmlformats.org/officeDocument/2006/relationships" name="POLICY_MODEL" sheetId="4" r:id="R43544e3c28004bed"/>
    <x:sheet xmlns:r="http://schemas.openxmlformats.org/officeDocument/2006/relationships" name="BREAK_EVEN" sheetId="5" r:id="R84a60e5144ae4279"/>
    <x:sheet xmlns:r="http://schemas.openxmlformats.org/officeDocument/2006/relationships" name="UTILIZATION" sheetId="6" r:id="R903b0ea662204b5f"/>
    <x:sheet xmlns:r="http://schemas.openxmlformats.org/officeDocument/2006/relationships" name="SOURCES" sheetId="7" r:id="Rd5a6b2f05f81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0"/>
    <x:numFmt numFmtId="201" formatCode="$0.0000"/>
    <x:numFmt numFmtId="202" formatCode="$0.00"/>
    <x:numFmt numFmtId="203" formatCode="$#,##0.00"/>
    <x:numFmt numFmtId="204" formatCode="$0.000000"/>
    <x:numFmt numFmtId="205" formatCode="$#,##0.000000"/>
    <x:numFmt numFmtId="206" formatCode="#,##0.00"/>
    <x:numFmt numFmtId="207" formatCode="$#,##0"/>
    <x:numFmt numFmtId="208" formatCode="#,##0"/>
    <x:numFmt numFmtId="209" formatCode="0%"/>
    <x:numFmt numFmtId="210" formatCode="0.00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11110F"/>
      <x:name val="Carlito"/>
    </x:font>
    <x:font>
      <x:sz val="10"/>
      <x:color rgb="FF11110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203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2" fontId="0" fillId="3" borderId="1" xfId="0" applyNumberFormat="1" applyFont="1" applyFill="1" applyBorder="1" applyAlignment="1">
      <x:alignment wrapText="1"/>
    </x:xf>
    <x:xf numFmtId="203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4" borderId="0" xfId="0" applyNumberFormat="1" applyFont="1" applyFill="1" applyBorder="1"/>
    <x:xf numFmtId="200" fontId="0" fillId="4" borderId="0" xfId="0" applyNumberFormat="1" applyFont="1" applyFill="1" applyBorder="1"/>
    <x:xf numFmtId="206" fontId="0" fillId="4" borderId="0" xfId="0" applyNumberFormat="1" applyFont="1" applyFill="1" applyBorder="1"/>
    <x:xf numFmtId="205" fontId="0" fillId="4" borderId="1" xfId="0" applyNumberFormat="1" applyFont="1" applyFill="1" applyBorder="1"/>
    <x:xf numFmtId="200" fontId="0" fillId="4" borderId="1" xfId="0" applyNumberFormat="1" applyFont="1" applyFill="1" applyBorder="1"/>
    <x:xf numFmtId="206" fontId="0" fillId="4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5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6" fontId="0" fillId="4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5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6" fontId="0" fillId="4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21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3" fontId="0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2" fontId="0" fillId="3" borderId="1" xfId="0" applyNumberFormat="1" applyFont="1" applyFill="1" applyBorder="1" applyAlignment="1">
      <x:alignment vertical="center" wrapText="1"/>
    </x:xf>
    <x:xf numFmtId="203" fontId="0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3" borderId="1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2" fontId="4" fillId="3" borderId="1" xfId="0" applyNumberFormat="1" applyFont="1" applyFill="1" applyBorder="1" applyAlignment="1">
      <x:alignment vertical="center" wrapText="1"/>
    </x:xf>
    <x:xf numFmtId="203" fontId="4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5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6" fontId="0" fillId="4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 applyAlignment="1">
      <x:alignment vertical="center" wrapText="1"/>
    </x:xf>
    <x:xf numFmtId="205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6" fontId="0" fillId="4" borderId="1" xfId="0" applyNumberFormat="1" applyFont="1" applyFill="1" applyBorder="1" applyAlignment="1">
      <x:alignment vertical="center" wrapText="1"/>
    </x:xf>
    <x:xf numFmtId="207" fontId="0" fillId="0" borderId="1" xfId="0" applyNumberFormat="1" applyFont="1" applyFill="1" applyBorder="1" applyAlignment="1">
      <x:alignment vertical="center" wrapText="1"/>
    </x:xf>
    <x:xf numFmtId="208" fontId="0" fillId="0" borderId="1" xfId="0" applyNumberFormat="1" applyFont="1" applyFill="1" applyBorder="1" applyAlignment="1">
      <x:alignment vertical="center" wrapText="1"/>
    </x:xf>
    <x:xf numFmtId="205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6" fontId="4" fillId="4" borderId="0" xfId="0" applyNumberFormat="1" applyFont="1" applyFill="1" applyBorder="1" applyAlignment="1">
      <x:alignment vertical="center" wrapText="1"/>
    </x:xf>
    <x:xf numFmtId="207" fontId="4" fillId="0" borderId="0" xfId="0" applyNumberFormat="1" applyFont="1" applyFill="1" applyBorder="1" applyAlignment="1">
      <x:alignment vertical="center" wrapText="1"/>
    </x:xf>
    <x:xf numFmtId="208" fontId="4" fillId="0" borderId="0" xfId="0" applyNumberFormat="1" applyFont="1" applyFill="1" applyBorder="1" applyAlignment="1">
      <x:alignment vertical="center" wrapText="1"/>
    </x:xf>
    <x:xf numFmtId="205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6" fontId="4" fillId="4" borderId="1" xfId="0" applyNumberFormat="1" applyFont="1" applyFill="1" applyBorder="1" applyAlignment="1">
      <x:alignment vertical="center" wrapText="1"/>
    </x:xf>
    <x:xf numFmtId="207" fontId="4" fillId="0" borderId="1" xfId="0" applyNumberFormat="1" applyFont="1" applyFill="1" applyBorder="1" applyAlignment="1">
      <x:alignment vertical="center" wrapText="1"/>
    </x:xf>
    <x:xf numFmtId="208" fontId="4" fillId="0" borderId="1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 applyAlignment="1">
      <x:alignment vertical="center" wrapText="1"/>
    </x:xf>
    <x:xf numFmtId="210" fontId="0" fillId="0" borderId="0" xfId="0" applyNumberFormat="1" applyFont="1" applyFill="1" applyBorder="1" applyAlignment="1">
      <x:alignment vertical="center" wrapText="1"/>
    </x:xf>
    <x:xf numFmtId="209" fontId="0" fillId="0" borderId="1" xfId="0" applyNumberFormat="1" applyFont="1" applyFill="1" applyBorder="1" applyAlignment="1">
      <x:alignment vertical="center" wrapText="1"/>
    </x:xf>
    <x:xf numFmtId="210" fontId="0" fillId="0" borderId="1" xfId="0" applyNumberFormat="1" applyFont="1" applyFill="1" applyBorder="1" applyAlignment="1">
      <x:alignment vertical="center" wrapText="1"/>
    </x:xf>
    <x:xf numFmtId="209" fontId="4" fillId="0" borderId="0" xfId="0" applyNumberFormat="1" applyFont="1" applyFill="1" applyBorder="1" applyAlignment="1">
      <x:alignment vertical="center" wrapText="1"/>
    </x:xf>
    <x:xf numFmtId="210" fontId="4" fillId="0" borderId="0" xfId="0" applyNumberFormat="1" applyFont="1" applyFill="1" applyBorder="1" applyAlignment="1">
      <x:alignment vertical="center" wrapText="1"/>
    </x:xf>
    <x:xf numFmtId="209" fontId="4" fillId="0" borderId="1" xfId="0" applyNumberFormat="1" applyFont="1" applyFill="1" applyBorder="1" applyAlignment="1">
      <x:alignment vertical="center" wrapText="1"/>
    </x:xf>
    <x:xf numFmtId="21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c24cf26094c87" /><Relationship Type="http://schemas.openxmlformats.org/officeDocument/2006/relationships/theme" Target="/xl/theme/theme1.xml" Id="Rb0dd6916662246b8" /><Relationship Type="http://schemas.openxmlformats.org/officeDocument/2006/relationships/sharedStrings" Target="/xl/sharedStrings.xml" Id="Reb9c390051d44428" /><Relationship Type="http://schemas.openxmlformats.org/officeDocument/2006/relationships/worksheet" Target="/xl/worksheets/sheet1.xml" Id="R64334da76fd24033" /><Relationship Type="http://schemas.openxmlformats.org/officeDocument/2006/relationships/worksheet" Target="/xl/worksheets/sheet2.xml" Id="R752a7e95d4d3471c" /><Relationship Type="http://schemas.openxmlformats.org/officeDocument/2006/relationships/worksheet" Target="/xl/worksheets/sheet3.xml" Id="R7bdea7fd9ee14423" /><Relationship Type="http://schemas.openxmlformats.org/officeDocument/2006/relationships/worksheet" Target="/xl/worksheets/sheet4.xml" Id="R43544e3c28004bed" /><Relationship Type="http://schemas.openxmlformats.org/officeDocument/2006/relationships/worksheet" Target="/xl/worksheets/sheet5.xml" Id="R84a60e5144ae4279" /><Relationship Type="http://schemas.openxmlformats.org/officeDocument/2006/relationships/worksheet" Target="/xl/worksheets/sheet6.xml" Id="R903b0ea662204b5f" /><Relationship Type="http://schemas.openxmlformats.org/officeDocument/2006/relationships/worksheet" Target="/xl/worksheets/sheet7.xml" Id="Rd5a6b2f05f81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2" customHeight="1">
      <x:c r="A1" s="3" t="str">
        <x:v>SECOND / PASS — Enterprise AI Deployment Decision Model</x:v>
      </x:c>
    </x:row>
    <x:row r="2" ht="22" customHeight="1"/>
    <x:row r="3" ht="22" customHeight="1">
      <x:c r="A3" t="str">
        <x:v>Purpose: compare deployment policies only after feasibility constraints and workload-specific quality inputs are explicit.</x:v>
      </x:c>
    </x:row>
    <x:row r="4" ht="22" customHeight="1"/>
    <x:row r="5" ht="22" customHeight="1">
      <x:c r="A5" s="10" t="str">
        <x:v>Sheet</x:v>
      </x:c>
      <x:c r="B5" s="10" t="str">
        <x:v>Purpose</x:v>
      </x:c>
    </x:row>
    <x:row r="6" ht="22" customHeight="1">
      <x:c r="A6" s="11" t="str">
        <x:v>INPUTS</x:v>
      </x:c>
      <x:c r="B6" s="11" t="str">
        <x:v>Editable workload, pricing, quality and self-host assumptions</x:v>
      </x:c>
    </x:row>
    <x:row r="7" ht="22" customHeight="1">
      <x:c r="A7" s="11" t="str">
        <x:v>FEASIBILITY</x:v>
      </x:c>
      <x:c r="B7" s="11" t="str">
        <x:v>Hard Y/N constraint gate by deployment policy</x:v>
      </x:c>
    </x:row>
    <x:row r="8" ht="22" customHeight="1">
      <x:c r="A8" s="11" t="str">
        <x:v>POLICY_MODEL</x:v>
      </x:c>
      <x:c r="B8" s="11" t="str">
        <x:v>Monthly cost, cost/task and cost/accepted outcome</x:v>
      </x:c>
    </x:row>
    <x:row r="9" ht="22" customHeight="1">
      <x:c r="A9" s="11" t="str">
        <x:v>BREAK_EVEN</x:v>
      </x:c>
      <x:c r="B9" s="11" t="str">
        <x:v>Same-model and quality-adjusted break-even calculations</x:v>
      </x:c>
    </x:row>
    <x:row r="10" ht="22" customHeight="1">
      <x:c r="A10" s="11" t="str">
        <x:v>UTILIZATION</x:v>
      </x:c>
      <x:c r="B10" s="11" t="str">
        <x:v>Normalized fixed-capacity sensitivity</x:v>
      </x:c>
    </x:row>
    <x:row r="11" ht="22" customHeight="1">
      <x:c r="A11" s="11" t="str">
        <x:v>SOURCES</x:v>
      </x:c>
      <x:c r="B11" s="11" t="str">
        <x:v>Primary-source snapshot used in default price inputs</x:v>
      </x:c>
    </x:row>
    <x:row r="12" ht="22" customHeight="1">
      <x:c r="A12" s="11" t="str">
        <x:v>Warning</x:v>
      </x:c>
      <x:c r="B12" s="11" t="str">
        <x:v>Illustrative model; not financial/legal advice; replace scenario inputs with measured workload data.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52" hidden="0" customWidth="1"/>
  </x:cols>
  <x:sheetData>
    <x:row r="1">
      <x:c r="A1" s="166" t="str">
        <x:v>Input</x:v>
      </x:c>
      <x:c r="B1" s="166" t="str">
        <x:v>Value</x:v>
      </x:c>
      <x:c r="C1" s="166" t="str">
        <x:v>Unit</x:v>
      </x:c>
      <x:c r="D1" s="166" t="str">
        <x:v>Type</x:v>
      </x:c>
      <x:c r="E1" s="166" t="str">
        <x:v>Note</x:v>
      </x:c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97" t="str">
        <x:v>Tasks per month</x:v>
      </x:c>
      <x:c r="B2" s="98" t="n">
        <x:v>1000000</x:v>
      </x:c>
      <x:c r="C2" s="99" t="str">
        <x:v>tasks/month</x:v>
      </x:c>
      <x:c r="D2" s="99" t="str">
        <x:v>SCENARIO</x:v>
      </x:c>
      <x:c r="E2" s="99" t="str">
        <x:v>Replace with measured workload</x:v>
      </x:c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97" t="str">
        <x:v>Input tokens per task</x:v>
      </x:c>
      <x:c r="B3" s="98" t="n">
        <x:v>10000</x:v>
      </x:c>
      <x:c r="C3" s="99" t="str">
        <x:v>tokens/task</x:v>
      </x:c>
      <x:c r="D3" s="99" t="str">
        <x:v>SCENARIO</x:v>
      </x:c>
      <x:c r="E3" s="99" t="str">
        <x:v>Measure under each candidate tokenizer/config</x:v>
      </x:c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97" t="str">
        <x:v>Output tokens per task</x:v>
      </x:c>
      <x:c r="B4" s="98" t="n">
        <x:v>1000</x:v>
      </x:c>
      <x:c r="C4" s="99" t="str">
        <x:v>tokens/task</x:v>
      </x:c>
      <x:c r="D4" s="99" t="str">
        <x:v>SCENARIO</x:v>
      </x:c>
      <x:c r="E4" s="99" t="str">
        <x:v>Measure under each candidate config</x:v>
      </x:c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97" t="str">
        <x:v>Closed managed input price</x:v>
      </x:c>
      <x:c r="B5" s="100" t="n">
        <x:v>1</x:v>
      </x:c>
      <x:c r="C5" s="99" t="str">
        <x:v>USD/MTok</x:v>
      </x:c>
      <x:c r="D5" s="99" t="str">
        <x:v>FACT SNAPSHOT</x:v>
      </x:c>
      <x:c r="E5" s="99" t="str">
        <x:v>GPT-5.6 Luna current standard input price</x:v>
      </x:c>
      <x:c r="F5" s="97"/>
      <x:c r="G5" s="97"/>
      <x:c r="H5" s="97"/>
      <x:c r="I5" s="97"/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97" t="str">
        <x:v>Closed managed output price</x:v>
      </x:c>
      <x:c r="B6" s="100" t="n">
        <x:v>6</x:v>
      </x:c>
      <x:c r="C6" s="99" t="str">
        <x:v>USD/MTok</x:v>
      </x:c>
      <x:c r="D6" s="99" t="str">
        <x:v>FACT SNAPSHOT</x:v>
      </x:c>
      <x:c r="E6" s="99" t="str">
        <x:v>GPT-5.6 Luna current standard output price</x:v>
      </x:c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97" t="str">
        <x:v>Closed managed other variable cost</x:v>
      </x:c>
      <x:c r="B7" s="98" t="n">
        <x:v>0</x:v>
      </x:c>
      <x:c r="C7" s="99" t="str">
        <x:v>USD/task</x:v>
      </x:c>
      <x:c r="D7" s="99" t="str">
        <x:v>SCENARIO</x:v>
      </x:c>
      <x:c r="E7" s="99" t="str">
        <x:v>Tools/retries/review if applicable</x:v>
      </x:c>
      <x:c r="F7" s="97"/>
      <x:c r="G7" s="97"/>
      <x:c r="H7" s="97"/>
      <x:c r="I7" s="97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7" t="str">
        <x:v>Closed managed acceptance rate</x:v>
      </x:c>
      <x:c r="B8" s="101" t="n">
        <x:v>1</x:v>
      </x:c>
      <x:c r="C8" s="99" t="str">
        <x:v>probability</x:v>
      </x:c>
      <x:c r="D8" s="99" t="str">
        <x:v>SCENARIO</x:v>
      </x:c>
      <x:c r="E8" s="99" t="str">
        <x:v>Replace with workload evaluation</x:v>
      </x:c>
      <x:c r="F8" s="97"/>
      <x:c r="G8" s="97"/>
      <x:c r="H8" s="97"/>
      <x:c r="I8" s="97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7" t="str">
        <x:v>Managed open-weight input price</x:v>
      </x:c>
      <x:c r="B9" s="100" t="n">
        <x:v>0.15</x:v>
      </x:c>
      <x:c r="C9" s="99" t="str">
        <x:v>USD/MTok</x:v>
      </x:c>
      <x:c r="D9" s="99" t="str">
        <x:v>FACT SNAPSHOT</x:v>
      </x:c>
      <x:c r="E9" s="99" t="str">
        <x:v>Mistral Small 4</x:v>
      </x:c>
      <x:c r="F9" s="97"/>
      <x:c r="G9" s="97"/>
      <x:c r="H9" s="97"/>
      <x:c r="I9" s="97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7" t="str">
        <x:v>Managed open-weight output price</x:v>
      </x:c>
      <x:c r="B10" s="100" t="n">
        <x:v>0.6</x:v>
      </x:c>
      <x:c r="C10" s="99" t="str">
        <x:v>USD/MTok</x:v>
      </x:c>
      <x:c r="D10" s="99" t="str">
        <x:v>FACT SNAPSHOT</x:v>
      </x:c>
      <x:c r="E10" s="99" t="str">
        <x:v>Mistral Small 4</x:v>
      </x:c>
      <x:c r="F10" s="97"/>
      <x:c r="G10" s="97"/>
      <x:c r="H10" s="97"/>
      <x:c r="I10" s="97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7" t="str">
        <x:v>Managed open-weight other variable cost</x:v>
      </x:c>
      <x:c r="B11" s="98" t="n">
        <x:v>0</x:v>
      </x:c>
      <x:c r="C11" s="99" t="str">
        <x:v>USD/task</x:v>
      </x:c>
      <x:c r="D11" s="99" t="str">
        <x:v>SCENARIO</x:v>
      </x:c>
      <x:c r="E11" s="99" t="str">
        <x:v>Add tools/retries/review</x:v>
      </x:c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97" t="str">
        <x:v>Managed open-weight acceptance rate</x:v>
      </x:c>
      <x:c r="B12" s="101" t="n">
        <x:v>1</x:v>
      </x:c>
      <x:c r="C12" s="99" t="str">
        <x:v>probability</x:v>
      </x:c>
      <x:c r="D12" s="99" t="str">
        <x:v>SCENARIO</x:v>
      </x:c>
      <x:c r="E12" s="99" t="str">
        <x:v>Replace with workload evaluation</x:v>
      </x:c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97" t="str">
        <x:v>Self-host GPU count</x:v>
      </x:c>
      <x:c r="B13" s="98" t="n">
        <x:v>8</x:v>
      </x:c>
      <x:c r="C13" s="99" t="str">
        <x:v>GPUs</x:v>
      </x:c>
      <x:c r="D13" s="99" t="str">
        <x:v>SCENARIO</x:v>
      </x:c>
      <x:c r="E13" s="99" t="str">
        <x:v>AWS p5.48xlarge has 8×H100</x:v>
      </x:c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97" t="str">
        <x:v>Self-host GPU price/hour</x:v>
      </x:c>
      <x:c r="B14" s="102" t="n">
        <x:v>4.72</x:v>
      </x:c>
      <x:c r="C14" s="99" t="str">
        <x:v>USD/GPU-hour</x:v>
      </x:c>
      <x:c r="D14" s="99" t="str">
        <x:v>FACT SNAPSHOT</x:v>
      </x:c>
      <x:c r="E14" s="99" t="str">
        <x:v>AWS Mumbai Capacity Block per accelerator</x:v>
      </x:c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97" t="str">
        <x:v>Hours per accounting month</x:v>
      </x:c>
      <x:c r="B15" s="98" t="n">
        <x:v>730</x:v>
      </x:c>
      <x:c r="C15" s="99" t="str">
        <x:v>hours</x:v>
      </x:c>
      <x:c r="D15" s="99" t="str">
        <x:v>ASSUMPTION</x:v>
      </x:c>
      <x:c r="E15" s="99" t="str">
        <x:v>Change accounting period if needed</x:v>
      </x:c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7" t="str">
        <x:v>Redundancy factor</x:v>
      </x:c>
      <x:c r="B16" s="98" t="n">
        <x:v>1</x:v>
      </x:c>
      <x:c r="C16" s="99" t="str">
        <x:v>multiplier</x:v>
      </x:c>
      <x:c r="D16" s="99" t="str">
        <x:v>SCENARIO</x:v>
      </x:c>
      <x:c r="E16" s="99" t="str">
        <x:v>Increase for N+1/multi-zone capacity</x:v>
      </x:c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 t="str">
        <x:v>Engineering / ops monthly cost</x:v>
      </x:c>
      <x:c r="B17" s="103" t="n">
        <x:v>0</x:v>
      </x:c>
      <x:c r="C17" s="99" t="str">
        <x:v>USD/month</x:v>
      </x:c>
      <x:c r="D17" s="99" t="str">
        <x:v>SCENARIO</x:v>
      </x:c>
      <x:c r="E17" s="99" t="str">
        <x:v>User-editable; not a salary estimate</x:v>
      </x:c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 t="str">
        <x:v>Storage / network monthly cost</x:v>
      </x:c>
      <x:c r="B18" s="103" t="n">
        <x:v>0</x:v>
      </x:c>
      <x:c r="C18" s="99" t="str">
        <x:v>USD/month</x:v>
      </x:c>
      <x:c r="D18" s="99" t="str">
        <x:v>SCENARIO</x:v>
      </x:c>
      <x:c r="E18" s="99" t="str">
        <x:v>Add measured costs</x:v>
      </x:c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 t="str">
        <x:v>Other fixed monthly cost</x:v>
      </x:c>
      <x:c r="B19" s="103" t="n">
        <x:v>0</x:v>
      </x:c>
      <x:c r="C19" s="99" t="str">
        <x:v>USD/month</x:v>
      </x:c>
      <x:c r="D19" s="99" t="str">
        <x:v>SCENARIO</x:v>
      </x:c>
      <x:c r="E19" s="99" t="str">
        <x:v>Support/control-plane/etc.</x:v>
      </x:c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 t="str">
        <x:v>Self-host other variable cost</x:v>
      </x:c>
      <x:c r="B20" s="98" t="n">
        <x:v>0</x:v>
      </x:c>
      <x:c r="C20" s="99" t="str">
        <x:v>USD/task</x:v>
      </x:c>
      <x:c r="D20" s="99" t="str">
        <x:v>SCENARIO</x:v>
      </x:c>
      <x:c r="E20" s="99" t="str">
        <x:v>Remaining variable system cost</x:v>
      </x:c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 t="str">
        <x:v>Self-host acceptance rate</x:v>
      </x:c>
      <x:c r="B21" s="101" t="n">
        <x:v>1</x:v>
      </x:c>
      <x:c r="C21" s="99" t="str">
        <x:v>probability</x:v>
      </x:c>
      <x:c r="D21" s="99" t="str">
        <x:v>SCENARIO</x:v>
      </x:c>
      <x:c r="E21" s="99" t="str">
        <x:v>Replace with workload evaluation</x:v>
      </x:c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 t="str">
        <x:v>Effective capacity utilization</x:v>
      </x:c>
      <x:c r="B22" s="101" t="n">
        <x:v>0.8</x:v>
      </x:c>
      <x:c r="C22" s="99" t="str">
        <x:v>ratio</x:v>
      </x:c>
      <x:c r="D22" s="99" t="str">
        <x:v>SCENARIO</x:v>
      </x:c>
      <x:c r="E22" s="99" t="str">
        <x:v>Useful workload / economically available capacity</x:v>
      </x:c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 t="str">
        <x:v>Measured self-host capacity</x:v>
      </x:c>
      <x:c r="B23" s="98" t="n">
        <x:v>0</x:v>
      </x:c>
      <x:c r="C23" s="99" t="str">
        <x:v>tasks/hour</x:v>
      </x:c>
      <x:c r="D23" s="99" t="str">
        <x:v>INPUT REQUIRED</x:v>
      </x:c>
      <x:c r="E23" s="99" t="str">
        <x:v>Exact serving config + target SLO; 0 keeps capacity gate closed</x:v>
      </x:c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 t="str">
        <x:v>Hybrid self-host fraction</x:v>
      </x:c>
      <x:c r="B24" s="101" t="n">
        <x:v>0.5</x:v>
      </x:c>
      <x:c r="C24" s="99" t="str">
        <x:v>ratio</x:v>
      </x:c>
      <x:c r="D24" s="99" t="str">
        <x:v>SCENARIO</x:v>
      </x:c>
      <x:c r="E24" s="99" t="str">
        <x:v>Share of tasks routed to self-host path</x:v>
      </x:c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66" t="str">
        <x:v>Policy</x:v>
      </x:c>
      <x:c r="B1" s="166" t="str">
        <x:v>Privacy</x:v>
      </x:c>
      <x:c r="C1" s="166" t="str">
        <x:v>License</x:v>
      </x:c>
      <x:c r="D1" s="166" t="str">
        <x:v>Residency</x:v>
      </x:c>
      <x:c r="E1" s="166" t="str">
        <x:v>Latency</x:v>
      </x:c>
      <x:c r="F1" s="166" t="str">
        <x:v>Context</x:v>
      </x:c>
      <x:c r="G1" s="166" t="str">
        <x:v>Capacity</x:v>
      </x:c>
      <x:c r="H1" s="166" t="str">
        <x:v>Status</x:v>
      </x:c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97" t="str">
        <x:v>Closed managed API</x:v>
      </x:c>
      <x:c r="B2" s="116" t="str">
        <x:v>Y</x:v>
      </x:c>
      <x:c r="C2" s="116" t="str">
        <x:v>Y</x:v>
      </x:c>
      <x:c r="D2" s="116" t="str">
        <x:v>Y</x:v>
      </x:c>
      <x:c r="E2" s="116" t="str">
        <x:v>Y</x:v>
      </x:c>
      <x:c r="F2" s="116" t="str">
        <x:v>Y</x:v>
      </x:c>
      <x:c r="G2" s="117" t="str">
        <x:v>Y</x:v>
      </x:c>
      <x:c r="H2" s="117" t="str">
        <x:f>IF(COUNTIF(B2:G2,"N")&gt;0,"INFEASIBLE","FEASIBLE")</x:f>
        <x:v>FEASIBLE</x:v>
      </x:c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97" t="str">
        <x:v>Managed open weight</x:v>
      </x:c>
      <x:c r="B3" s="116" t="str">
        <x:v>Y</x:v>
      </x:c>
      <x:c r="C3" s="116" t="str">
        <x:v>Y</x:v>
      </x:c>
      <x:c r="D3" s="116" t="str">
        <x:v>Y</x:v>
      </x:c>
      <x:c r="E3" s="116" t="str">
        <x:v>Y</x:v>
      </x:c>
      <x:c r="F3" s="116" t="str">
        <x:v>Y</x:v>
      </x:c>
      <x:c r="G3" s="117" t="str">
        <x:v>Y</x:v>
      </x:c>
      <x:c r="H3" s="117" t="str">
        <x:f>IF(COUNTIF(B3:G3,"N")&gt;0,"INFEASIBLE","FEASIBLE")</x:f>
        <x:v>FEASIBLE</x:v>
      </x:c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97" t="str">
        <x:v>Self-hosted open weight</x:v>
      </x:c>
      <x:c r="B4" s="116" t="str">
        <x:v>Y</x:v>
      </x:c>
      <x:c r="C4" s="116" t="str">
        <x:v>Y</x:v>
      </x:c>
      <x:c r="D4" s="116" t="str">
        <x:v>Y</x:v>
      </x:c>
      <x:c r="E4" s="116" t="str">
        <x:v>Y</x:v>
      </x:c>
      <x:c r="F4" s="116" t="str">
        <x:v>Y</x:v>
      </x:c>
      <x:c r="G4" s="117" t="str">
        <x:f>IF(AND(INPUTS!B23&gt;0,INPUTS!B23&gt;=INPUTS!B2/(INPUTS!B15*INPUTS!B22)),"Y","N")</x:f>
        <x:v>N</x:v>
      </x:c>
      <x:c r="H4" s="117" t="str">
        <x:f>IF(COUNTIF(B4:G4,"N")&gt;0,"INFEASIBLE","FEASIBLE")</x:f>
        <x:v>INFEASIBLE</x:v>
      </x:c>
      <x:c r="I4" s="97"/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97" t="str">
        <x:v>Hybrid / router</x:v>
      </x:c>
      <x:c r="B5" s="116" t="str">
        <x:v>Y</x:v>
      </x:c>
      <x:c r="C5" s="116" t="str">
        <x:v>Y</x:v>
      </x:c>
      <x:c r="D5" s="116" t="str">
        <x:v>Y</x:v>
      </x:c>
      <x:c r="E5" s="116" t="str">
        <x:v>Y</x:v>
      </x:c>
      <x:c r="F5" s="116" t="str">
        <x:v>Y</x:v>
      </x:c>
      <x:c r="G5" s="117" t="str">
        <x:f>IF(INPUTS!B24&lt;=0,"Y",IF(AND(INPUTS!B23&gt;0,INPUTS!B23&gt;=INPUTS!B24*INPUTS!B2/(INPUTS!B15*INPUTS!B22)),"Y","N"))</x:f>
        <x:v>N</x:v>
      </x:c>
      <x:c r="H5" s="117" t="str">
        <x:f>IF(COUNTIF(B5:G5,"N")&gt;0,"INFEASIBLE","FEASIBLE")</x:f>
        <x:v>INFEASIBLE</x:v>
      </x:c>
      <x:c r="I5" s="97"/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97"/>
      <x:c r="B6" s="97"/>
      <x:c r="C6" s="97"/>
      <x:c r="D6" s="97"/>
      <x:c r="E6" s="97"/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97"/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7"/>
      <x:c r="B8" s="97"/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7"/>
      <x:c r="B9" s="97"/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7"/>
      <x:c r="B10" s="97"/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dataValidations count="1">
    <x:dataValidation type="list" sqref="B2:F5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2" hidden="0" customWidth="1"/>
  </x:cols>
  <x:sheetData>
    <x:row r="1">
      <x:c r="A1" s="168" t="str">
        <x:v>Policy</x:v>
      </x:c>
      <x:c r="B1" s="168" t="str">
        <x:v>Variable cost/task</x:v>
      </x:c>
      <x:c r="C1" s="168" t="str">
        <x:v>Monthly fixed</x:v>
      </x:c>
      <x:c r="D1" s="168" t="str">
        <x:v>Monthly total</x:v>
      </x:c>
      <x:c r="E1" s="168" t="str">
        <x:v>Acceptance</x:v>
      </x:c>
      <x:c r="F1" s="168" t="str">
        <x:v>CAO</x:v>
      </x:c>
      <x:c r="G1" s="168" t="str">
        <x:v>Feasibility</x:v>
      </x:c>
      <x:c r="H1" s="168" t="str">
        <x:v>Eligible CAO</x:v>
      </x:c>
      <x:c r="I1" s="168" t="str">
        <x:v>Notes</x:v>
      </x:c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99" t="str">
        <x:v>Closed managed API</x:v>
      </x:c>
      <x:c r="B2" s="129" t="n">
        <x:f>INPUTS!B3/1000000*INPUTS!B5+INPUTS!B4/1000000*INPUTS!B6+INPUTS!B7</x:f>
        <x:v>0.016</x:v>
      </x:c>
      <x:c r="C2" s="130" t="n">
        <x:v>0</x:v>
      </x:c>
      <x:c r="D2" s="130" t="n">
        <x:f>C2+INPUTS!B2*B2</x:f>
        <x:v>16000</x:v>
      </x:c>
      <x:c r="E2" s="131" t="n">
        <x:f>INPUTS!B8</x:f>
        <x:v>1</x:v>
      </x:c>
      <x:c r="F2" s="129" t="n">
        <x:f>IF(E2&gt;0,D2/INPUTS!B2/E2,"")</x:f>
        <x:v>0.016</x:v>
      </x:c>
      <x:c r="G2" s="99" t="str">
        <x:f>FEASIBILITY!H2</x:f>
        <x:v>FEASIBLE</x:v>
      </x:c>
      <x:c r="H2" s="99" t="n">
        <x:f>IF(G2="FEASIBLE",F2,1E99)</x:f>
        <x:v>0.016</x:v>
      </x:c>
      <x:c r="I2" s="99" t="str">
        <x:v>Default closed reference uses GPT-5.6 Luna list prices; acceptance is user input.</x:v>
      </x:c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99" t="str">
        <x:v>Managed open weight</x:v>
      </x:c>
      <x:c r="B3" s="129" t="n">
        <x:f>INPUTS!B3/1000000*INPUTS!B9+INPUTS!B4/1000000*INPUTS!B10+INPUTS!B11</x:f>
        <x:v>0.0021</x:v>
      </x:c>
      <x:c r="C3" s="130" t="n">
        <x:v>0</x:v>
      </x:c>
      <x:c r="D3" s="130" t="n">
        <x:f>C3+INPUTS!B2*B3</x:f>
        <x:v>2100</x:v>
      </x:c>
      <x:c r="E3" s="131" t="n">
        <x:f>INPUTS!B12</x:f>
        <x:v>1</x:v>
      </x:c>
      <x:c r="F3" s="129" t="n">
        <x:f>IF(E3&gt;0,D3/INPUTS!B2/E3,"")</x:f>
        <x:v>0.0021</x:v>
      </x:c>
      <x:c r="G3" s="99" t="str">
        <x:f>FEASIBILITY!H3</x:f>
        <x:v>FEASIBLE</x:v>
      </x:c>
      <x:c r="H3" s="99" t="n">
        <x:f>IF(G3="FEASIBLE",F3,1E99)</x:f>
        <x:v>0.0021</x:v>
      </x:c>
      <x:c r="I3" s="99" t="str">
        <x:v>Default managed-open reference uses Mistral Small 4.</x:v>
      </x:c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99" t="str">
        <x:v>Self-hosted open weight</x:v>
      </x:c>
      <x:c r="B4" s="129" t="n">
        <x:f>INPUTS!B20</x:f>
        <x:v>0</x:v>
      </x:c>
      <x:c r="C4" s="130" t="n">
        <x:f>INPUTS!B13*INPUTS!B14*INPUTS!B15*INPUTS!B16+INPUTS!B17+INPUTS!B18+INPUTS!B19</x:f>
        <x:v>27564.8</x:v>
      </x:c>
      <x:c r="D4" s="130" t="n">
        <x:f>C4+INPUTS!B2*B4</x:f>
        <x:v>27564.8</x:v>
      </x:c>
      <x:c r="E4" s="131" t="n">
        <x:f>INPUTS!B21</x:f>
        <x:v>1</x:v>
      </x:c>
      <x:c r="F4" s="129" t="n">
        <x:f>IF(E4&gt;0,D4/INPUTS!B2/E4,"")</x:f>
        <x:v>0.0275648</x:v>
      </x:c>
      <x:c r="G4" s="99" t="str">
        <x:f>FEASIBILITY!H4</x:f>
        <x:v>INFEASIBLE</x:v>
      </x:c>
      <x:c r="H4" s="99" t="n">
        <x:f>IF(G4="FEASIBLE",F4,1E99)</x:f>
        <x:v>1e+99</x:v>
      </x:c>
      <x:c r="I4" s="99" t="str">
        <x:v>Capacity feasibility compares measured tasks/hour with the current workload requirement at selected utilization.</x:v>
      </x:c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99" t="str">
        <x:v>Hybrid / router</x:v>
      </x:c>
      <x:c r="B5" s="129" t="n">
        <x:f>INPUTS!B24*B4+(1-INPUTS!B24)*B2</x:f>
        <x:v>0.008</x:v>
      </x:c>
      <x:c r="C5" s="130" t="n">
        <x:f>IF(INPUTS!B24&gt;0,INPUTS!B13*INPUTS!B14*INPUTS!B15*INPUTS!B16+INPUTS!B17+INPUTS!B18+INPUTS!B19,0)</x:f>
        <x:v>27564.8</x:v>
      </x:c>
      <x:c r="D5" s="130" t="n">
        <x:f>C5+INPUTS!B2*B5</x:f>
        <x:v>35564.8</x:v>
      </x:c>
      <x:c r="E5" s="131" t="n">
        <x:f>INPUTS!B24*E4+(1-INPUTS!B24)*E2</x:f>
        <x:v>1</x:v>
      </x:c>
      <x:c r="F5" s="129" t="n">
        <x:f>IF(E5&gt;0,D5/INPUTS!B2/E5,"")</x:f>
        <x:v>0.0355648</x:v>
      </x:c>
      <x:c r="G5" s="99" t="str">
        <x:f>FEASIBILITY!H5</x:f>
        <x:v>INFEASIBLE</x:v>
      </x:c>
      <x:c r="H5" s="99" t="n">
        <x:f>IF(G5="FEASIBLE",F5,1E99)</x:f>
        <x:v>1e+99</x:v>
      </x:c>
      <x:c r="I5" s="99" t="str">
        <x:v>Simplified hybrid: self-host fraction + closed managed remainder; self-host capacity gate scales with routed fraction.</x:v>
      </x:c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99"/>
      <x:c r="B6" s="99"/>
      <x:c r="C6" s="99"/>
      <x:c r="D6" s="99"/>
      <x:c r="E6" s="99"/>
      <x:c r="F6" s="99"/>
      <x:c r="G6" s="99"/>
      <x:c r="H6" s="99"/>
      <x:c r="I6" s="99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128" t="str">
        <x:v>Output</x:v>
      </x:c>
      <x:c r="B7" s="128" t="str">
        <x:v>Value</x:v>
      </x:c>
      <x:c r="C7" s="99"/>
      <x:c r="D7" s="99"/>
      <x:c r="E7" s="99"/>
      <x:c r="F7" s="99"/>
      <x:c r="G7" s="99"/>
      <x:c r="H7" s="99"/>
      <x:c r="I7" s="99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9" t="str">
        <x:v>Lowest-CAO feasible policy</x:v>
      </x:c>
      <x:c r="B8" s="132" t="str">
        <x:f>INDEX(A2:A5,MATCH(MIN(H2:H5),H2:H5,0))</x:f>
        <x:v>Managed open weight</x:v>
      </x:c>
      <x:c r="C8" s="99"/>
      <x:c r="D8" s="99"/>
      <x:c r="E8" s="99"/>
      <x:c r="F8" s="99"/>
      <x:c r="G8" s="99"/>
      <x:c r="H8" s="99"/>
      <x:c r="I8" s="99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9" t="str">
        <x:v>Lowest eligible CAO</x:v>
      </x:c>
      <x:c r="B9" s="132" t="n">
        <x:f>MIN(H2:H5)</x:f>
        <x:v>0.0021</x:v>
      </x:c>
      <x:c r="C9" s="99"/>
      <x:c r="D9" s="99"/>
      <x:c r="E9" s="99"/>
      <x:c r="F9" s="99"/>
      <x:c r="G9" s="99"/>
      <x:c r="H9" s="99"/>
      <x:c r="I9" s="99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9" t="str">
        <x:v>Warning</x:v>
      </x:c>
      <x:c r="B10" s="99" t="str">
        <x:v>Default inputs are normalization/scenario values, not a recommendation.</x:v>
      </x:c>
      <x:c r="C10" s="99"/>
      <x:c r="D10" s="99"/>
      <x:c r="E10" s="99"/>
      <x:c r="F10" s="99"/>
      <x:c r="G10" s="99"/>
      <x:c r="H10" s="99"/>
      <x:c r="I10" s="99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8" hidden="0" customWidth="1"/>
    <x:col min="4" max="4" width="62" hidden="0" customWidth="1"/>
  </x:cols>
  <x:sheetData>
    <x:row r="1">
      <x:c r="A1" s="168" t="str">
        <x:v>Metric</x:v>
      </x:c>
      <x:c r="B1" s="168" t="str">
        <x:v>Formula / value</x:v>
      </x:c>
      <x:c r="C1" s="168" t="str">
        <x:v>Unit</x:v>
      </x:c>
      <x:c r="D1" s="168" t="str">
        <x:v>Interpretation</x:v>
      </x:c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99" t="str">
        <x:v>Managed open variable cost/task</x:v>
      </x:c>
      <x:c r="B2" s="148" t="n">
        <x:f>POLICY_MODEL!B3</x:f>
        <x:v>0.0021</x:v>
      </x:c>
      <x:c r="C2" s="99" t="str">
        <x:v>USD/task</x:v>
      </x:c>
      <x:c r="D2" s="99" t="str">
        <x:v>Same-model Mistral managed cost</x:v>
      </x:c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99" t="str">
        <x:v>Self-host variable cost/task</x:v>
      </x:c>
      <x:c r="B3" s="148" t="n">
        <x:f>POLICY_MODEL!B4</x:f>
        <x:v>0</x:v>
      </x:c>
      <x:c r="C3" s="99" t="str">
        <x:v>USD/task</x:v>
      </x:c>
      <x:c r="D3" s="99" t="str">
        <x:v>User input</x:v>
      </x:c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99" t="str">
        <x:v>Self-host fixed/fixed-like monthly cost</x:v>
      </x:c>
      <x:c r="B4" s="148" t="n">
        <x:f>POLICY_MODEL!C4</x:f>
        <x:v>27564.8</x:v>
      </x:c>
      <x:c r="C4" s="99" t="str">
        <x:v>USD/month</x:v>
      </x:c>
      <x:c r="D4" s="99" t="str">
        <x:v>Capacity + redundancy + engineering + storage/network + other fixed</x:v>
      </x:c>
      <x:c r="E4" s="97"/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99" t="str">
        <x:v>Simple same-model break-even</x:v>
      </x:c>
      <x:c r="B5" s="132" t="n">
        <x:f>IF(B2-B3&gt;0,B4/(B2-B3),"NO FINITE BREAK-EVEN")</x:f>
        <x:v>13126095.238095239</x:v>
      </x:c>
      <x:c r="C5" s="99" t="str">
        <x:v>tasks/month</x:v>
      </x:c>
      <x:c r="D5" s="99" t="str">
        <x:v>Equal acceptance; finite only if managed variable &gt; self variable</x:v>
      </x:c>
      <x:c r="E5" s="97"/>
      <x:c r="F5" s="97"/>
      <x:c r="G5" s="97"/>
      <x:c r="H5" s="97"/>
      <x:c r="I5" s="97"/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99" t="str">
        <x:v>Quality ratio r_q</x:v>
      </x:c>
      <x:c r="B6" s="149" t="n">
        <x:f>IF(INPUTS!B12&gt;0,INPUTS!B21/INPUTS!B12,"")</x:f>
        <x:v>1</x:v>
      </x:c>
      <x:c r="C6" s="99" t="str">
        <x:v>ratio</x:v>
      </x:c>
      <x:c r="D6" s="99" t="str">
        <x:v>Self-host acceptance / managed-open acceptance</x:v>
      </x:c>
      <x:c r="E6" s="97"/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99" t="str">
        <x:v>Quality-adjusted break-even</x:v>
      </x:c>
      <x:c r="B7" s="132" t="n">
        <x:f>IF(B6*B2-B3&gt;0,B4/(B6*B2-B3),"NO FINITE BREAK-EVEN")</x:f>
        <x:v>13126095.238095239</x:v>
      </x:c>
      <x:c r="C7" s="99" t="str">
        <x:v>tasks/month</x:v>
      </x:c>
      <x:c r="D7" s="99" t="str">
        <x:v>Finite only if r_q*v_c - v_o &gt; 0</x:v>
      </x:c>
      <x:c r="E7" s="97"/>
      <x:c r="F7" s="97"/>
      <x:c r="G7" s="97"/>
      <x:c r="H7" s="97"/>
      <x:c r="I7" s="97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9" t="str">
        <x:v>Required useful capacity at simple break-even</x:v>
      </x:c>
      <x:c r="B8" s="150" t="n">
        <x:f>IF(ISNUMBER(B5),B5/(INPUTS!B15*INPUTS!B22),"")</x:f>
        <x:v>22476.190476190477</x:v>
      </x:c>
      <x:c r="C8" s="99" t="str">
        <x:v>tasks/hour</x:v>
      </x:c>
      <x:c r="D8" s="99" t="str">
        <x:v>Required rate at selected effective utilization; not measured throughput</x:v>
      </x:c>
      <x:c r="E8" s="97"/>
      <x:c r="F8" s="97"/>
      <x:c r="G8" s="97"/>
      <x:c r="H8" s="97"/>
      <x:c r="I8" s="97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9" t="str">
        <x:v>Measured capacity</x:v>
      </x:c>
      <x:c r="B9" s="150" t="n">
        <x:f>INPUTS!B23</x:f>
        <x:v>0</x:v>
      </x:c>
      <x:c r="C9" s="99" t="str">
        <x:v>tasks/hour</x:v>
      </x:c>
      <x:c r="D9" s="99" t="str">
        <x:v>User input from exact serving benchmark / production test</x:v>
      </x:c>
      <x:c r="E9" s="97"/>
      <x:c r="F9" s="97"/>
      <x:c r="G9" s="97"/>
      <x:c r="H9" s="97"/>
      <x:c r="I9" s="97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9" t="str">
        <x:v>Capacity gate</x:v>
      </x:c>
      <x:c r="B10" s="132" t="str">
        <x:f>IF(B9&lt;=0,"INPUT REQUIRED",IF(B9&gt;=B8,"PASS","FAIL"))</x:f>
        <x:v>INPUT REQUIRED</x:v>
      </x:c>
      <x:c r="C10" s="99" t="str">
        <x:v>status</x:v>
      </x:c>
      <x:c r="D10" s="99" t="str">
        <x:v>PASS only when measured capacity &gt;= required rate</x:v>
      </x:c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9"/>
      <x:c r="B11" s="99"/>
      <x:c r="C11" s="99"/>
      <x:c r="D11" s="99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128" t="str">
        <x:v>Engineering/ops scenario</x:v>
      </x:c>
      <x:c r="B12" s="128" t="str">
        <x:v>Break-even tasks/month</x:v>
      </x:c>
      <x:c r="C12" s="99"/>
      <x:c r="D12" s="99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151" t="n">
        <x:v>0</x:v>
      </x:c>
      <x:c r="B13" s="152" t="n">
        <x:f>IF(B2-B3&gt;0,(B4+A13)/(B2-B3),"NO FINITE BREAK-EVEN")</x:f>
        <x:v>13126095.238095239</x:v>
      </x:c>
      <x:c r="C13" s="99"/>
      <x:c r="D13" s="99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151" t="n">
        <x:v>5000</x:v>
      </x:c>
      <x:c r="B14" s="152" t="n">
        <x:f>IF(B2-B3&gt;0,(B4+A14)/(B2-B3),"NO FINITE BREAK-EVEN")</x:f>
        <x:v>15507047.61904762</x:v>
      </x:c>
      <x:c r="C14" s="99"/>
      <x:c r="D14" s="99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151" t="n">
        <x:v>20000</x:v>
      </x:c>
      <x:c r="B15" s="152" t="n">
        <x:f>IF(B2-B3&gt;0,(B4+A15)/(B2-B3),"NO FINITE BREAK-EVEN")</x:f>
        <x:v>22649904.761904765</x:v>
      </x:c>
      <x:c r="C15" s="99"/>
      <x:c r="D15" s="99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9" t="str">
        <x:v>Note</x:v>
      </x:c>
      <x:c r="B16" s="99" t="str">
        <x:v>Scenario values; not salary estimates</x:v>
      </x:c>
      <x:c r="C16" s="99"/>
      <x:c r="D16" s="99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58" hidden="0" customWidth="1"/>
  </x:cols>
  <x:sheetData>
    <x:row r="1">
      <x:c r="A1" s="168" t="str">
        <x:v>Effective utilization</x:v>
      </x:c>
      <x:c r="B1" s="168" t="str">
        <x:v>Relative fixed cost vs 80%</x:v>
      </x:c>
      <x:c r="C1" s="168" t="str">
        <x:v>Capacity month</x:v>
      </x:c>
      <x:c r="D1" s="168" t="str">
        <x:v>Note</x:v>
      </x:c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162" t="n">
        <x:v>0.2</x:v>
      </x:c>
      <x:c r="B2" s="163" t="n">
        <x:f>0.8/A2</x:f>
        <x:v>4</x:v>
      </x:c>
      <x:c r="C2" s="130" t="n">
        <x:f>POLICY_MODEL!C4</x:f>
        <x:v>27564.8</x:v>
      </x:c>
      <x:c r="D2" s="99" t="str">
        <x:v>Normalized fixed-capacity relationship; 100% is a mathematical reference.</x:v>
      </x:c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162" t="n">
        <x:v>0.4</x:v>
      </x:c>
      <x:c r="B3" s="163" t="n">
        <x:f>0.8/A3</x:f>
        <x:v>2</x:v>
      </x:c>
      <x:c r="C3" s="130" t="n">
        <x:f>POLICY_MODEL!C4</x:f>
        <x:v>27564.8</x:v>
      </x:c>
      <x:c r="D3" s="99" t="str">
        <x:v>Normalized fixed-capacity relationship; 100% is a mathematical reference.</x:v>
      </x:c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162" t="n">
        <x:v>0.6</x:v>
      </x:c>
      <x:c r="B4" s="163" t="n">
        <x:f>0.8/A4</x:f>
        <x:v>1.3333333333333335</x:v>
      </x:c>
      <x:c r="C4" s="130" t="n">
        <x:f>POLICY_MODEL!C4</x:f>
        <x:v>27564.8</x:v>
      </x:c>
      <x:c r="D4" s="99" t="str">
        <x:v>Normalized fixed-capacity relationship; 100% is a mathematical reference.</x:v>
      </x:c>
      <x:c r="E4" s="97"/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162" t="n">
        <x:v>0.8</x:v>
      </x:c>
      <x:c r="B5" s="163" t="n">
        <x:f>0.8/A5</x:f>
        <x:v>1</x:v>
      </x:c>
      <x:c r="C5" s="130" t="n">
        <x:f>POLICY_MODEL!C4</x:f>
        <x:v>27564.8</x:v>
      </x:c>
      <x:c r="D5" s="99" t="str">
        <x:v>Normalized fixed-capacity relationship; 100% is a mathematical reference.</x:v>
      </x:c>
      <x:c r="E5" s="97"/>
      <x:c r="F5" s="97"/>
      <x:c r="G5" s="97"/>
      <x:c r="H5" s="97"/>
      <x:c r="I5" s="97"/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162" t="n">
        <x:v>1</x:v>
      </x:c>
      <x:c r="B6" s="163" t="n">
        <x:f>0.8/A6</x:f>
        <x:v>0.8</x:v>
      </x:c>
      <x:c r="C6" s="130" t="n">
        <x:f>POLICY_MODEL!C4</x:f>
        <x:v>27564.8</x:v>
      </x:c>
      <x:c r="D6" s="99" t="str">
        <x:v>Normalized fixed-capacity relationship; 100% is a mathematical reference.</x:v>
      </x:c>
      <x:c r="E6" s="97"/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97"/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7"/>
      <x:c r="B8" s="97"/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7"/>
      <x:c r="B9" s="97"/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7"/>
      <x:c r="B10" s="97"/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2" hidden="0" customWidth="1"/>
    <x:col min="4" max="4" width="16" hidden="0" customWidth="1"/>
    <x:col min="5" max="5" width="48" hidden="0" customWidth="1"/>
  </x:cols>
  <x:sheetData>
    <x:row r="1">
      <x:c r="A1" s="168" t="str">
        <x:v>Input</x:v>
      </x:c>
      <x:c r="B1" s="168" t="str">
        <x:v>Value used</x:v>
      </x:c>
      <x:c r="C1" s="168" t="str">
        <x:v>Source</x:v>
      </x:c>
      <x:c r="D1" s="168" t="str">
        <x:v>Accessed</x:v>
      </x:c>
      <x:c r="E1" s="168" t="str">
        <x:v>Note</x:v>
      </x:c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  <x:c r="Y1" s="97"/>
      <x:c r="Z1" s="97"/>
    </x:row>
    <x:row r="2">
      <x:c r="A2" s="99" t="str">
        <x:v>Mistral Small 4 input price</x:v>
      </x:c>
      <x:c r="B2" s="99" t="str">
        <x:v>$0.15/M</x:v>
      </x:c>
      <x:c r="C2" s="99" t="str">
        <x:v>https://docs.mistral.ai/models/model-cards/mistral-small-4-0-26-03</x:v>
      </x:c>
      <x:c r="D2" s="99" t="str">
        <x:v>2026-08-10</x:v>
      </x:c>
      <x:c r="E2" s="99" t="str">
        <x:v>Managed-open default</x:v>
      </x:c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  <x:c r="S2" s="97"/>
      <x:c r="T2" s="97"/>
      <x:c r="U2" s="97"/>
      <x:c r="V2" s="97"/>
      <x:c r="W2" s="97"/>
      <x:c r="X2" s="97"/>
      <x:c r="Y2" s="97"/>
      <x:c r="Z2" s="97"/>
    </x:row>
    <x:row r="3">
      <x:c r="A3" s="99" t="str">
        <x:v>Mistral Small 4 output price</x:v>
      </x:c>
      <x:c r="B3" s="99" t="str">
        <x:v>$0.60/M</x:v>
      </x:c>
      <x:c r="C3" s="99" t="str">
        <x:v>https://docs.mistral.ai/models/model-cards/mistral-small-4-0-26-03</x:v>
      </x:c>
      <x:c r="D3" s="99" t="str">
        <x:v>2026-08-10</x:v>
      </x:c>
      <x:c r="E3" s="99" t="str">
        <x:v>Managed-open default</x:v>
      </x:c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</x:row>
    <x:row r="4">
      <x:c r="A4" s="99" t="str">
        <x:v>GPT-5.6 Luna input/output</x:v>
      </x:c>
      <x:c r="B4" s="99" t="str">
        <x:v>$1/$6 per M</x:v>
      </x:c>
      <x:c r="C4" s="99" t="str">
        <x:v>https://developers.openai.com/api/docs/models/gpt-5.6-luna</x:v>
      </x:c>
      <x:c r="D4" s="99" t="str">
        <x:v>2026-08-10</x:v>
      </x:c>
      <x:c r="E4" s="99" t="str">
        <x:v>Closed managed default reference</x:v>
      </x:c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  <x:c r="Q4" s="97"/>
      <x:c r="R4" s="97"/>
      <x:c r="S4" s="97"/>
      <x:c r="T4" s="97"/>
      <x:c r="U4" s="97"/>
      <x:c r="V4" s="97"/>
      <x:c r="W4" s="97"/>
      <x:c r="X4" s="97"/>
      <x:c r="Y4" s="97"/>
      <x:c r="Z4" s="97"/>
    </x:row>
    <x:row r="5">
      <x:c r="A5" s="99" t="str">
        <x:v>AWS Mumbai H100 Capacity Block</x:v>
      </x:c>
      <x:c r="B5" s="99" t="str">
        <x:v>$4.72/GPU-hour</x:v>
      </x:c>
      <x:c r="C5" s="99" t="str">
        <x:v>https://aws.amazon.com/ec2/capacityblocks/pricing/</x:v>
      </x:c>
      <x:c r="D5" s="99" t="str">
        <x:v>2026-08-10</x:v>
      </x:c>
      <x:c r="E5" s="99" t="str">
        <x:v>p5.48xlarge is $37.76/h for 8 H100</x:v>
      </x:c>
      <x:c r="F5" s="97"/>
      <x:c r="G5" s="97"/>
      <x:c r="H5" s="97"/>
      <x:c r="I5" s="97"/>
      <x:c r="J5" s="97"/>
      <x:c r="K5" s="97"/>
      <x:c r="L5" s="97"/>
      <x:c r="M5" s="97"/>
      <x:c r="N5" s="97"/>
      <x:c r="O5" s="97"/>
      <x:c r="P5" s="97"/>
      <x:c r="Q5" s="97"/>
      <x:c r="R5" s="97"/>
      <x:c r="S5" s="97"/>
      <x:c r="T5" s="97"/>
      <x:c r="U5" s="97"/>
      <x:c r="V5" s="97"/>
      <x:c r="W5" s="97"/>
      <x:c r="X5" s="97"/>
      <x:c r="Y5" s="97"/>
      <x:c r="Z5" s="97"/>
    </x:row>
    <x:row r="6">
      <x:c r="A6" s="97"/>
      <x:c r="B6" s="97"/>
      <x:c r="C6" s="97"/>
      <x:c r="D6" s="97"/>
      <x:c r="E6" s="97"/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97"/>
      <x:c r="T6" s="97"/>
      <x:c r="U6" s="97"/>
      <x:c r="V6" s="97"/>
      <x:c r="W6" s="97"/>
      <x:c r="X6" s="97"/>
      <x:c r="Y6" s="97"/>
      <x:c r="Z6" s="97"/>
    </x:row>
    <x:row r="7">
      <x:c r="A7" s="97"/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97"/>
      <x:c r="O7" s="97"/>
      <x:c r="P7" s="97"/>
      <x:c r="Q7" s="97"/>
      <x:c r="R7" s="97"/>
      <x:c r="S7" s="97"/>
      <x:c r="T7" s="97"/>
      <x:c r="U7" s="97"/>
      <x:c r="V7" s="97"/>
      <x:c r="W7" s="97"/>
      <x:c r="X7" s="97"/>
      <x:c r="Y7" s="97"/>
      <x:c r="Z7" s="97"/>
    </x:row>
    <x:row r="8">
      <x:c r="A8" s="97"/>
      <x:c r="B8" s="97"/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7"/>
      <x:c r="O8" s="97"/>
      <x:c r="P8" s="97"/>
      <x:c r="Q8" s="97"/>
      <x:c r="R8" s="97"/>
      <x:c r="S8" s="97"/>
      <x:c r="T8" s="97"/>
      <x:c r="U8" s="97"/>
      <x:c r="V8" s="97"/>
      <x:c r="W8" s="97"/>
      <x:c r="X8" s="97"/>
      <x:c r="Y8" s="97"/>
      <x:c r="Z8" s="97"/>
    </x:row>
    <x:row r="9">
      <x:c r="A9" s="97"/>
      <x:c r="B9" s="97"/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  <x:c r="O9" s="97"/>
      <x:c r="P9" s="97"/>
      <x:c r="Q9" s="97"/>
      <x:c r="R9" s="97"/>
      <x:c r="S9" s="97"/>
      <x:c r="T9" s="97"/>
      <x:c r="U9" s="97"/>
      <x:c r="V9" s="97"/>
      <x:c r="W9" s="97"/>
      <x:c r="X9" s="97"/>
      <x:c r="Y9" s="97"/>
      <x:c r="Z9" s="97"/>
    </x:row>
    <x:row r="10">
      <x:c r="A10" s="97"/>
      <x:c r="B10" s="97"/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  <x:c r="O10" s="97"/>
      <x:c r="P10" s="97"/>
      <x:c r="Q10" s="97"/>
      <x:c r="R10" s="97"/>
      <x:c r="S10" s="97"/>
      <x:c r="T10" s="97"/>
      <x:c r="U10" s="97"/>
      <x:c r="V10" s="97"/>
      <x:c r="W10" s="97"/>
      <x:c r="X10" s="97"/>
      <x:c r="Y10" s="97"/>
      <x:c r="Z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  <x:c r="O11" s="97"/>
      <x:c r="P11" s="97"/>
      <x:c r="Q11" s="97"/>
      <x:c r="R11" s="97"/>
      <x:c r="S11" s="97"/>
      <x:c r="T11" s="97"/>
      <x:c r="U11" s="97"/>
      <x:c r="V11" s="97"/>
      <x:c r="W11" s="97"/>
      <x:c r="X11" s="97"/>
      <x:c r="Y11" s="97"/>
      <x:c r="Z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  <x:c r="O12" s="97"/>
      <x:c r="P12" s="97"/>
      <x:c r="Q12" s="97"/>
      <x:c r="R12" s="97"/>
      <x:c r="S12" s="97"/>
      <x:c r="T12" s="97"/>
      <x:c r="U12" s="97"/>
      <x:c r="V12" s="97"/>
      <x:c r="W12" s="97"/>
      <x:c r="X12" s="97"/>
      <x:c r="Y12" s="97"/>
      <x:c r="Z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  <x:c r="O14" s="97"/>
      <x:c r="P14" s="97"/>
      <x:c r="Q14" s="97"/>
      <x:c r="R14" s="97"/>
      <x:c r="S14" s="97"/>
      <x:c r="T14" s="97"/>
      <x:c r="U14" s="97"/>
      <x:c r="V14" s="97"/>
      <x:c r="W14" s="97"/>
      <x:c r="X14" s="97"/>
      <x:c r="Y14" s="97"/>
      <x:c r="Z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  <x:c r="O15" s="97"/>
      <x:c r="P15" s="97"/>
      <x:c r="Q15" s="97"/>
      <x:c r="R15" s="97"/>
      <x:c r="S15" s="97"/>
      <x:c r="T15" s="97"/>
      <x:c r="U15" s="97"/>
      <x:c r="V15" s="97"/>
      <x:c r="W15" s="97"/>
      <x:c r="X15" s="97"/>
      <x:c r="Y15" s="97"/>
      <x:c r="Z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  <x:c r="O16" s="97"/>
      <x:c r="P16" s="97"/>
      <x:c r="Q16" s="97"/>
      <x:c r="R16" s="97"/>
      <x:c r="S16" s="97"/>
      <x:c r="T16" s="97"/>
      <x:c r="U16" s="97"/>
      <x:c r="V16" s="97"/>
      <x:c r="W16" s="97"/>
      <x:c r="X16" s="97"/>
      <x:c r="Y16" s="97"/>
      <x:c r="Z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  <x:c r="O17" s="97"/>
      <x:c r="P17" s="97"/>
      <x:c r="Q17" s="97"/>
      <x:c r="R17" s="97"/>
      <x:c r="S17" s="97"/>
      <x:c r="T17" s="97"/>
      <x:c r="U17" s="97"/>
      <x:c r="V17" s="97"/>
      <x:c r="W17" s="97"/>
      <x:c r="X17" s="97"/>
      <x:c r="Y17" s="97"/>
      <x:c r="Z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  <x:c r="O18" s="97"/>
      <x:c r="P18" s="97"/>
      <x:c r="Q18" s="97"/>
      <x:c r="R18" s="97"/>
      <x:c r="S18" s="97"/>
      <x:c r="T18" s="97"/>
      <x:c r="U18" s="97"/>
      <x:c r="V18" s="97"/>
      <x:c r="W18" s="97"/>
      <x:c r="X18" s="97"/>
      <x:c r="Y18" s="97"/>
      <x:c r="Z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  <x:c r="O20" s="97"/>
      <x:c r="P20" s="97"/>
      <x:c r="Q20" s="97"/>
      <x:c r="R20" s="97"/>
      <x:c r="S20" s="97"/>
      <x:c r="T20" s="97"/>
      <x:c r="U20" s="97"/>
      <x:c r="V20" s="97"/>
      <x:c r="W20" s="97"/>
      <x:c r="X20" s="97"/>
      <x:c r="Y20" s="97"/>
      <x:c r="Z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  <x:c r="O21" s="97"/>
      <x:c r="P21" s="97"/>
      <x:c r="Q21" s="97"/>
      <x:c r="R21" s="97"/>
      <x:c r="S21" s="97"/>
      <x:c r="T21" s="97"/>
      <x:c r="U21" s="97"/>
      <x:c r="V21" s="97"/>
      <x:c r="W21" s="97"/>
      <x:c r="X21" s="97"/>
      <x:c r="Y21" s="97"/>
      <x:c r="Z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  <x:c r="O22" s="97"/>
      <x:c r="P22" s="97"/>
      <x:c r="Q22" s="97"/>
      <x:c r="R22" s="97"/>
      <x:c r="S22" s="97"/>
      <x:c r="T22" s="97"/>
      <x:c r="U22" s="97"/>
      <x:c r="V22" s="97"/>
      <x:c r="W22" s="97"/>
      <x:c r="X22" s="97"/>
      <x:c r="Y22" s="97"/>
      <x:c r="Z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  <x:c r="O23" s="97"/>
      <x:c r="P23" s="97"/>
      <x:c r="Q23" s="97"/>
      <x:c r="R23" s="97"/>
      <x:c r="S23" s="97"/>
      <x:c r="T23" s="97"/>
      <x:c r="U23" s="97"/>
      <x:c r="V23" s="97"/>
      <x:c r="W23" s="97"/>
      <x:c r="X23" s="97"/>
      <x:c r="Y23" s="97"/>
      <x:c r="Z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</x:row>
    <x:row r="25">
      <x:c r="A25" s="97"/>
      <x:c r="B25" s="97"/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</x:row>
    <x:row r="27">
      <x:c r="A27" s="97"/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</x:row>
    <x:row r="28">
      <x:c r="A28" s="97"/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</x:row>
    <x:row r="3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</x:row>
    <x:row r="32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</x:row>
    <x:row r="33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</x:row>
    <x:row r="34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</x:row>
    <x:row r="35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</x:row>
    <x:row r="36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</x:row>
    <x:row r="37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</x:row>
    <x:row r="38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</x:row>
    <x:row r="39">
      <x:c r="A39" s="97"/>
      <x:c r="B39" s="97"/>
      <x:c r="C39" s="97"/>
      <x:c r="D39" s="97"/>
      <x:c r="E39" s="97"/>
      <x:c r="F39" s="97"/>
      <x:c r="G39" s="97"/>
      <x:c r="H39" s="97"/>
      <x:c r="I39" s="97"/>
      <x:c r="J39" s="97"/>
      <x:c r="K39" s="97"/>
      <x:c r="L39" s="97"/>
      <x:c r="M39" s="97"/>
      <x:c r="N39" s="97"/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</x:row>
    <x:row r="40">
      <x:c r="A40" s="97"/>
      <x:c r="B40" s="97"/>
      <x:c r="C40" s="97"/>
      <x:c r="D40" s="97"/>
      <x:c r="E40" s="97"/>
      <x:c r="F40" s="97"/>
      <x:c r="G40" s="97"/>
      <x:c r="H40" s="97"/>
      <x:c r="I40" s="97"/>
      <x:c r="J40" s="97"/>
      <x:c r="K40" s="97"/>
      <x:c r="L40" s="97"/>
      <x:c r="M40" s="97"/>
      <x:c r="N40" s="97"/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</x:row>
    <x:row r="41">
      <x:c r="A41" s="97"/>
      <x:c r="B41" s="97"/>
      <x:c r="C41" s="97"/>
      <x:c r="D41" s="97"/>
      <x:c r="E41" s="97"/>
      <x:c r="F41" s="97"/>
      <x:c r="G41" s="97"/>
      <x:c r="H41" s="97"/>
      <x:c r="I41" s="97"/>
      <x:c r="J41" s="97"/>
      <x:c r="K41" s="97"/>
      <x:c r="L41" s="97"/>
      <x:c r="M41" s="97"/>
      <x:c r="N41" s="97"/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</x:row>
    <x:row r="42">
      <x:c r="A42" s="97"/>
      <x:c r="B42" s="97"/>
      <x:c r="C42" s="97"/>
      <x:c r="D42" s="97"/>
      <x:c r="E42" s="97"/>
      <x:c r="F42" s="97"/>
      <x:c r="G42" s="97"/>
      <x:c r="H42" s="97"/>
      <x:c r="I42" s="97"/>
      <x:c r="J42" s="97"/>
      <x:c r="K42" s="97"/>
      <x:c r="L42" s="97"/>
      <x:c r="M42" s="97"/>
      <x:c r="N42" s="97"/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</x:row>
    <x:row r="43">
      <x:c r="A43" s="9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7"/>
      <x:c r="L43" s="97"/>
      <x:c r="M43" s="97"/>
      <x:c r="N43" s="97"/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</x:row>
    <x:row r="44">
      <x:c r="A44" s="9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7"/>
      <x:c r="L44" s="97"/>
      <x:c r="M44" s="97"/>
      <x:c r="N44" s="97"/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</x:row>
    <x:row r="45">
      <x:c r="A45" s="9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7"/>
      <x:c r="L45" s="97"/>
      <x:c r="M45" s="97"/>
      <x:c r="N45" s="97"/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</x:row>
    <x:row r="46">
      <x:c r="A46" s="9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7"/>
      <x:c r="L46" s="97"/>
      <x:c r="M46" s="97"/>
      <x:c r="N46" s="97"/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</x:row>
    <x:row r="47">
      <x:c r="A47" s="97"/>
      <x:c r="B47" s="97"/>
      <x:c r="C47" s="97"/>
      <x:c r="D47" s="97"/>
      <x:c r="E47" s="97"/>
      <x:c r="F47" s="97"/>
      <x:c r="G47" s="97"/>
      <x:c r="H47" s="97"/>
      <x:c r="I47" s="97"/>
      <x:c r="J47" s="97"/>
      <x:c r="K47" s="97"/>
      <x:c r="L47" s="97"/>
      <x:c r="M47" s="97"/>
      <x:c r="N47" s="97"/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</x:row>
    <x:row r="48">
      <x:c r="A48" s="97"/>
      <x:c r="B48" s="97"/>
      <x:c r="C48" s="97"/>
      <x:c r="D48" s="97"/>
      <x:c r="E48" s="97"/>
      <x:c r="F48" s="97"/>
      <x:c r="G48" s="97"/>
      <x:c r="H48" s="97"/>
      <x:c r="I48" s="97"/>
      <x:c r="J48" s="97"/>
      <x:c r="K48" s="97"/>
      <x:c r="L48" s="97"/>
      <x:c r="M48" s="97"/>
      <x:c r="N48" s="97"/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</x:row>
    <x:row r="49">
      <x:c r="A49" s="97"/>
      <x:c r="B49" s="97"/>
      <x:c r="C49" s="97"/>
      <x:c r="D49" s="97"/>
      <x:c r="E49" s="97"/>
      <x:c r="F49" s="97"/>
      <x:c r="G49" s="97"/>
      <x:c r="H49" s="97"/>
      <x:c r="I49" s="97"/>
      <x:c r="J49" s="97"/>
      <x:c r="K49" s="97"/>
      <x:c r="L49" s="97"/>
      <x:c r="M49" s="97"/>
      <x:c r="N49" s="97"/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</x:row>
    <x:row r="50">
      <x:c r="A50" s="97"/>
      <x:c r="B50" s="97"/>
      <x:c r="C50" s="97"/>
      <x:c r="D50" s="97"/>
      <x:c r="E50" s="97"/>
      <x:c r="F50" s="97"/>
      <x:c r="G50" s="97"/>
      <x:c r="H50" s="97"/>
      <x:c r="I50" s="97"/>
      <x:c r="J50" s="97"/>
      <x:c r="K50" s="97"/>
      <x:c r="L50" s="97"/>
      <x:c r="M50" s="97"/>
      <x:c r="N50" s="97"/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</x:row>
    <x:row r="51">
      <x:c r="A51" s="97"/>
      <x:c r="B51" s="97"/>
      <x:c r="C51" s="97"/>
      <x:c r="D51" s="97"/>
      <x:c r="E51" s="97"/>
      <x:c r="F51" s="97"/>
      <x:c r="G51" s="97"/>
      <x:c r="H51" s="97"/>
      <x:c r="I51" s="97"/>
      <x:c r="J51" s="97"/>
      <x:c r="K51" s="97"/>
      <x:c r="L51" s="97"/>
      <x:c r="M51" s="97"/>
      <x:c r="N51" s="97"/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</x:row>
    <x:row r="52">
      <x:c r="A52" s="97"/>
      <x:c r="B52" s="97"/>
      <x:c r="C52" s="97"/>
      <x:c r="D52" s="97"/>
      <x:c r="E52" s="97"/>
      <x:c r="F52" s="97"/>
      <x:c r="G52" s="97"/>
      <x:c r="H52" s="97"/>
      <x:c r="I52" s="97"/>
      <x:c r="J52" s="97"/>
      <x:c r="K52" s="97"/>
      <x:c r="L52" s="97"/>
      <x:c r="M52" s="97"/>
      <x:c r="N52" s="97"/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</x:row>
    <x:row r="53">
      <x:c r="A53" s="97"/>
      <x:c r="B53" s="97"/>
      <x:c r="C53" s="97"/>
      <x:c r="D53" s="97"/>
      <x:c r="E53" s="97"/>
      <x:c r="F53" s="97"/>
      <x:c r="G53" s="97"/>
      <x:c r="H53" s="97"/>
      <x:c r="I53" s="97"/>
      <x:c r="J53" s="97"/>
      <x:c r="K53" s="97"/>
      <x:c r="L53" s="97"/>
      <x:c r="M53" s="97"/>
      <x:c r="N53" s="97"/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</x:row>
    <x:row r="54">
      <x:c r="A54" s="97"/>
      <x:c r="B54" s="97"/>
      <x:c r="C54" s="97"/>
      <x:c r="D54" s="97"/>
      <x:c r="E54" s="97"/>
      <x:c r="F54" s="97"/>
      <x:c r="G54" s="97"/>
      <x:c r="H54" s="97"/>
      <x:c r="I54" s="97"/>
      <x:c r="J54" s="97"/>
      <x:c r="K54" s="97"/>
      <x:c r="L54" s="97"/>
      <x:c r="M54" s="97"/>
      <x:c r="N54" s="97"/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</x:row>
    <x:row r="55">
      <x:c r="A55" s="97"/>
      <x:c r="B55" s="97"/>
      <x:c r="C55" s="97"/>
      <x:c r="D55" s="97"/>
      <x:c r="E55" s="97"/>
      <x:c r="F55" s="97"/>
      <x:c r="G55" s="97"/>
      <x:c r="H55" s="97"/>
      <x:c r="I55" s="97"/>
      <x:c r="J55" s="97"/>
      <x:c r="K55" s="97"/>
      <x:c r="L55" s="97"/>
      <x:c r="M55" s="97"/>
      <x:c r="N55" s="97"/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</x:row>
    <x:row r="56">
      <x:c r="A56" s="97"/>
      <x:c r="B56" s="97"/>
      <x:c r="C56" s="97"/>
      <x:c r="D56" s="97"/>
      <x:c r="E56" s="97"/>
      <x:c r="F56" s="97"/>
      <x:c r="G56" s="97"/>
      <x:c r="H56" s="97"/>
      <x:c r="I56" s="97"/>
      <x:c r="J56" s="97"/>
      <x:c r="K56" s="97"/>
      <x:c r="L56" s="97"/>
      <x:c r="M56" s="97"/>
      <x:c r="N56" s="97"/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</x:row>
    <x:row r="57">
      <x:c r="A57" s="97"/>
      <x:c r="B57" s="97"/>
      <x:c r="C57" s="97"/>
      <x:c r="D57" s="97"/>
      <x:c r="E57" s="97"/>
      <x:c r="F57" s="97"/>
      <x:c r="G57" s="97"/>
      <x:c r="H57" s="97"/>
      <x:c r="I57" s="97"/>
      <x:c r="J57" s="97"/>
      <x:c r="K57" s="97"/>
      <x:c r="L57" s="97"/>
      <x:c r="M57" s="97"/>
      <x:c r="N57" s="97"/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</x:row>
    <x:row r="58">
      <x:c r="A58" s="97"/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</x:row>
    <x:row r="59">
      <x:c r="A59" s="97"/>
      <x:c r="B59" s="97"/>
      <x:c r="C59" s="97"/>
      <x:c r="D59" s="97"/>
      <x:c r="E59" s="97"/>
      <x:c r="F59" s="97"/>
      <x:c r="G59" s="97"/>
      <x:c r="H59" s="97"/>
      <x:c r="I59" s="97"/>
      <x:c r="J59" s="97"/>
      <x:c r="K59" s="97"/>
      <x:c r="L59" s="97"/>
      <x:c r="M59" s="97"/>
      <x:c r="N59" s="97"/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</x:row>
    <x:row r="60">
      <x:c r="A60" s="97"/>
      <x:c r="B60" s="97"/>
      <x:c r="C60" s="97"/>
      <x:c r="D60" s="97"/>
      <x:c r="E60" s="97"/>
      <x:c r="F60" s="97"/>
      <x:c r="G60" s="97"/>
      <x:c r="H60" s="97"/>
      <x:c r="I60" s="97"/>
      <x:c r="J60" s="97"/>
      <x:c r="K60" s="97"/>
      <x:c r="L60" s="97"/>
      <x:c r="M60" s="97"/>
      <x:c r="N60" s="97"/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</x:row>
    <x:row r="61">
      <x:c r="A61" s="97"/>
      <x:c r="B61" s="97"/>
      <x:c r="C61" s="97"/>
      <x:c r="D61" s="97"/>
      <x:c r="E61" s="97"/>
      <x:c r="F61" s="97"/>
      <x:c r="G61" s="97"/>
      <x:c r="H61" s="97"/>
      <x:c r="I61" s="97"/>
      <x:c r="J61" s="97"/>
      <x:c r="K61" s="97"/>
      <x:c r="L61" s="97"/>
      <x:c r="M61" s="97"/>
      <x:c r="N61" s="97"/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</x:row>
    <x:row r="62">
      <x:c r="A62" s="97"/>
      <x:c r="B62" s="97"/>
      <x:c r="C62" s="97"/>
      <x:c r="D62" s="97"/>
      <x:c r="E62" s="97"/>
      <x:c r="F62" s="97"/>
      <x:c r="G62" s="97"/>
      <x:c r="H62" s="97"/>
      <x:c r="I62" s="97"/>
      <x:c r="J62" s="97"/>
      <x:c r="K62" s="97"/>
      <x:c r="L62" s="97"/>
      <x:c r="M62" s="97"/>
      <x:c r="N62" s="97"/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</x:row>
    <x:row r="63">
      <x:c r="A63" s="97"/>
      <x:c r="B63" s="97"/>
      <x:c r="C63" s="97"/>
      <x:c r="D63" s="97"/>
      <x:c r="E63" s="97"/>
      <x:c r="F63" s="97"/>
      <x:c r="G63" s="97"/>
      <x:c r="H63" s="97"/>
      <x:c r="I63" s="97"/>
      <x:c r="J63" s="97"/>
      <x:c r="K63" s="97"/>
      <x:c r="L63" s="97"/>
      <x:c r="M63" s="97"/>
      <x:c r="N63" s="97"/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</x:row>
    <x:row r="64">
      <x:c r="A64" s="97"/>
      <x:c r="B64" s="97"/>
      <x:c r="C64" s="97"/>
      <x:c r="D64" s="97"/>
      <x:c r="E64" s="97"/>
      <x:c r="F64" s="97"/>
      <x:c r="G64" s="97"/>
      <x:c r="H64" s="97"/>
      <x:c r="I64" s="97"/>
      <x:c r="J64" s="97"/>
      <x:c r="K64" s="97"/>
      <x:c r="L64" s="97"/>
      <x:c r="M64" s="97"/>
      <x:c r="N64" s="97"/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</x:row>
    <x:row r="65">
      <x:c r="A65" s="97"/>
      <x:c r="B65" s="97"/>
      <x:c r="C65" s="97"/>
      <x:c r="D65" s="97"/>
      <x:c r="E65" s="97"/>
      <x:c r="F65" s="97"/>
      <x:c r="G65" s="97"/>
      <x:c r="H65" s="97"/>
      <x:c r="I65" s="97"/>
      <x:c r="J65" s="97"/>
      <x:c r="K65" s="97"/>
      <x:c r="L65" s="97"/>
      <x:c r="M65" s="97"/>
      <x:c r="N65" s="97"/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</x:row>
    <x:row r="66">
      <x:c r="A66" s="97"/>
      <x:c r="B66" s="97"/>
      <x:c r="C66" s="97"/>
      <x:c r="D66" s="97"/>
      <x:c r="E66" s="97"/>
      <x:c r="F66" s="97"/>
      <x:c r="G66" s="97"/>
      <x:c r="H66" s="97"/>
      <x:c r="I66" s="97"/>
      <x:c r="J66" s="97"/>
      <x:c r="K66" s="97"/>
      <x:c r="L66" s="97"/>
      <x:c r="M66" s="97"/>
      <x:c r="N66" s="97"/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</x:row>
    <x:row r="67">
      <x:c r="A67" s="97"/>
      <x:c r="B67" s="97"/>
      <x:c r="C67" s="97"/>
      <x:c r="D67" s="97"/>
      <x:c r="E67" s="97"/>
      <x:c r="F67" s="97"/>
      <x:c r="G67" s="97"/>
      <x:c r="H67" s="97"/>
      <x:c r="I67" s="97"/>
      <x:c r="J67" s="97"/>
      <x:c r="K67" s="97"/>
      <x:c r="L67" s="97"/>
      <x:c r="M67" s="97"/>
      <x:c r="N67" s="97"/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</x:row>
    <x:row r="68">
      <x:c r="A68" s="97"/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</x:row>
    <x:row r="69">
      <x:c r="A69" s="97"/>
      <x:c r="B69" s="97"/>
      <x:c r="C69" s="97"/>
      <x:c r="D69" s="97"/>
      <x:c r="E69" s="97"/>
      <x:c r="F69" s="97"/>
      <x:c r="G69" s="97"/>
      <x:c r="H69" s="97"/>
      <x:c r="I69" s="97"/>
      <x:c r="J69" s="97"/>
      <x:c r="K69" s="97"/>
      <x:c r="L69" s="97"/>
      <x:c r="M69" s="97"/>
      <x:c r="N69" s="97"/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</x:row>
    <x:row r="70">
      <x:c r="A70" s="97"/>
      <x:c r="B70" s="97"/>
      <x:c r="C70" s="97"/>
      <x:c r="D70" s="97"/>
      <x:c r="E70" s="97"/>
      <x:c r="F70" s="97"/>
      <x:c r="G70" s="97"/>
      <x:c r="H70" s="97"/>
      <x:c r="I70" s="97"/>
      <x:c r="J70" s="97"/>
      <x:c r="K70" s="97"/>
      <x:c r="L70" s="97"/>
      <x:c r="M70" s="97"/>
      <x:c r="N70" s="97"/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</x:row>
    <x:row r="71">
      <x:c r="A71" s="97"/>
      <x:c r="B71" s="97"/>
      <x:c r="C71" s="97"/>
      <x:c r="D71" s="97"/>
      <x:c r="E71" s="97"/>
      <x:c r="F71" s="97"/>
      <x:c r="G71" s="97"/>
      <x:c r="H71" s="97"/>
      <x:c r="I71" s="97"/>
      <x:c r="J71" s="97"/>
      <x:c r="K71" s="97"/>
      <x:c r="L71" s="97"/>
      <x:c r="M71" s="97"/>
      <x:c r="N71" s="97"/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</x:row>
    <x:row r="72">
      <x:c r="A72" s="97"/>
      <x:c r="B72" s="97"/>
      <x:c r="C72" s="97"/>
      <x:c r="D72" s="97"/>
      <x:c r="E72" s="97"/>
      <x:c r="F72" s="97"/>
      <x:c r="G72" s="97"/>
      <x:c r="H72" s="97"/>
      <x:c r="I72" s="97"/>
      <x:c r="J72" s="97"/>
      <x:c r="K72" s="97"/>
      <x:c r="L72" s="97"/>
      <x:c r="M72" s="97"/>
      <x:c r="N72" s="97"/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</x:row>
    <x:row r="73">
      <x:c r="A73" s="97"/>
      <x:c r="B73" s="97"/>
      <x:c r="C73" s="97"/>
      <x:c r="D73" s="97"/>
      <x:c r="E73" s="97"/>
      <x:c r="F73" s="97"/>
      <x:c r="G73" s="97"/>
      <x:c r="H73" s="97"/>
      <x:c r="I73" s="97"/>
      <x:c r="J73" s="97"/>
      <x:c r="K73" s="97"/>
      <x:c r="L73" s="97"/>
      <x:c r="M73" s="97"/>
      <x:c r="N73" s="97"/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</x:row>
    <x:row r="74">
      <x:c r="A74" s="97"/>
      <x:c r="B74" s="97"/>
      <x:c r="C74" s="97"/>
      <x:c r="D74" s="97"/>
      <x:c r="E74" s="97"/>
      <x:c r="F74" s="97"/>
      <x:c r="G74" s="97"/>
      <x:c r="H74" s="97"/>
      <x:c r="I74" s="97"/>
      <x:c r="J74" s="97"/>
      <x:c r="K74" s="97"/>
      <x:c r="L74" s="97"/>
      <x:c r="M74" s="97"/>
      <x:c r="N74" s="97"/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</x:row>
    <x:row r="75">
      <x:c r="A75" s="97"/>
      <x:c r="B75" s="97"/>
      <x:c r="C75" s="97"/>
      <x:c r="D75" s="97"/>
      <x:c r="E75" s="97"/>
      <x:c r="F75" s="97"/>
      <x:c r="G75" s="97"/>
      <x:c r="H75" s="97"/>
      <x:c r="I75" s="97"/>
      <x:c r="J75" s="97"/>
      <x:c r="K75" s="97"/>
      <x:c r="L75" s="97"/>
      <x:c r="M75" s="97"/>
      <x:c r="N75" s="97"/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</x:row>
    <x:row r="76">
      <x:c r="A76" s="97"/>
      <x:c r="B76" s="97"/>
      <x:c r="C76" s="97"/>
      <x:c r="D76" s="97"/>
      <x:c r="E76" s="97"/>
      <x:c r="F76" s="97"/>
      <x:c r="G76" s="97"/>
      <x:c r="H76" s="97"/>
      <x:c r="I76" s="97"/>
      <x:c r="J76" s="97"/>
      <x:c r="K76" s="97"/>
      <x:c r="L76" s="97"/>
      <x:c r="M76" s="97"/>
      <x:c r="N76" s="97"/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</x:row>
    <x:row r="77">
      <x:c r="A77" s="97"/>
      <x:c r="B77" s="97"/>
      <x:c r="C77" s="97"/>
      <x:c r="D77" s="97"/>
      <x:c r="E77" s="97"/>
      <x:c r="F77" s="97"/>
      <x:c r="G77" s="97"/>
      <x:c r="H77" s="97"/>
      <x:c r="I77" s="97"/>
      <x:c r="J77" s="97"/>
      <x:c r="K77" s="97"/>
      <x:c r="L77" s="97"/>
      <x:c r="M77" s="97"/>
      <x:c r="N77" s="97"/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</x:row>
    <x:row r="78">
      <x:c r="A78" s="97"/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</x:row>
    <x:row r="81">
      <x:c r="A81" s="97"/>
      <x:c r="B81" s="97"/>
      <x:c r="C81" s="97"/>
      <x:c r="D81" s="97"/>
      <x:c r="E81" s="97"/>
      <x:c r="F81" s="97"/>
      <x:c r="G81" s="97"/>
      <x:c r="H81" s="97"/>
      <x:c r="I81" s="97"/>
      <x:c r="J81" s="97"/>
      <x:c r="K81" s="97"/>
      <x:c r="L81" s="97"/>
      <x:c r="M81" s="97"/>
      <x:c r="N81" s="97"/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</x:row>
    <x:row r="82">
      <x:c r="A82" s="97"/>
      <x:c r="B82" s="97"/>
      <x:c r="C82" s="97"/>
      <x:c r="D82" s="97"/>
      <x:c r="E82" s="97"/>
      <x:c r="F82" s="97"/>
      <x:c r="G82" s="97"/>
      <x:c r="H82" s="97"/>
      <x:c r="I82" s="97"/>
      <x:c r="J82" s="97"/>
      <x:c r="K82" s="97"/>
      <x:c r="L82" s="97"/>
      <x:c r="M82" s="97"/>
      <x:c r="N82" s="97"/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</x:row>
    <x:row r="83">
      <x:c r="A83" s="97"/>
      <x:c r="B83" s="97"/>
      <x:c r="C83" s="97"/>
      <x:c r="D83" s="97"/>
      <x:c r="E83" s="97"/>
      <x:c r="F83" s="97"/>
      <x:c r="G83" s="97"/>
      <x:c r="H83" s="97"/>
      <x:c r="I83" s="97"/>
      <x:c r="J83" s="97"/>
      <x:c r="K83" s="97"/>
      <x:c r="L83" s="97"/>
      <x:c r="M83" s="97"/>
      <x:c r="N83" s="97"/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</x:row>
    <x:row r="84">
      <x:c r="A84" s="97"/>
      <x:c r="B84" s="97"/>
      <x:c r="C84" s="97"/>
      <x:c r="D84" s="97"/>
      <x:c r="E84" s="97"/>
      <x:c r="F84" s="97"/>
      <x:c r="G84" s="97"/>
      <x:c r="H84" s="97"/>
      <x:c r="I84" s="97"/>
      <x:c r="J84" s="97"/>
      <x:c r="K84" s="97"/>
      <x:c r="L84" s="97"/>
      <x:c r="M84" s="97"/>
      <x:c r="N84" s="97"/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</x:row>
    <x:row r="85">
      <x:c r="A85" s="97"/>
      <x:c r="B85" s="97"/>
      <x:c r="C85" s="97"/>
      <x:c r="D85" s="97"/>
      <x:c r="E85" s="97"/>
      <x:c r="F85" s="97"/>
      <x:c r="G85" s="97"/>
      <x:c r="H85" s="97"/>
      <x:c r="I85" s="97"/>
      <x:c r="J85" s="97"/>
      <x:c r="K85" s="97"/>
      <x:c r="L85" s="97"/>
      <x:c r="M85" s="97"/>
      <x:c r="N85" s="97"/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</x:row>
    <x:row r="86">
      <x:c r="A86" s="97"/>
      <x:c r="B86" s="97"/>
      <x:c r="C86" s="97"/>
      <x:c r="D86" s="97"/>
      <x:c r="E86" s="97"/>
      <x:c r="F86" s="97"/>
      <x:c r="G86" s="97"/>
      <x:c r="H86" s="97"/>
      <x:c r="I86" s="97"/>
      <x:c r="J86" s="97"/>
      <x:c r="K86" s="97"/>
      <x:c r="L86" s="97"/>
      <x:c r="M86" s="97"/>
      <x:c r="N86" s="97"/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</x:row>
    <x:row r="87">
      <x:c r="A87" s="97"/>
      <x:c r="B87" s="97"/>
      <x:c r="C87" s="97"/>
      <x:c r="D87" s="97"/>
      <x:c r="E87" s="97"/>
      <x:c r="F87" s="97"/>
      <x:c r="G87" s="97"/>
      <x:c r="H87" s="97"/>
      <x:c r="I87" s="97"/>
      <x:c r="J87" s="97"/>
      <x:c r="K87" s="97"/>
      <x:c r="L87" s="97"/>
      <x:c r="M87" s="97"/>
      <x:c r="N87" s="97"/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</x:row>
    <x:row r="88">
      <x:c r="A88" s="97"/>
      <x:c r="B88" s="97"/>
      <x:c r="C88" s="97"/>
      <x:c r="D88" s="97"/>
      <x:c r="E88" s="97"/>
      <x:c r="F88" s="97"/>
      <x:c r="G88" s="97"/>
      <x:c r="H88" s="97"/>
      <x:c r="I88" s="97"/>
      <x:c r="J88" s="97"/>
      <x:c r="K88" s="97"/>
      <x:c r="L88" s="97"/>
      <x:c r="M88" s="97"/>
      <x:c r="N88" s="97"/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</x:row>
    <x:row r="89">
      <x:c r="A89" s="97"/>
      <x:c r="B89" s="97"/>
      <x:c r="C89" s="97"/>
      <x:c r="D89" s="97"/>
      <x:c r="E89" s="97"/>
      <x:c r="F89" s="97"/>
      <x:c r="G89" s="97"/>
      <x:c r="H89" s="97"/>
      <x:c r="I89" s="97"/>
      <x:c r="J89" s="97"/>
      <x:c r="K89" s="97"/>
      <x:c r="L89" s="97"/>
      <x:c r="M89" s="97"/>
      <x:c r="N89" s="97"/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</x:row>
    <x:row r="90">
      <x:c r="A90" s="97"/>
      <x:c r="B90" s="97"/>
      <x:c r="C90" s="97"/>
      <x:c r="D90" s="97"/>
      <x:c r="E90" s="97"/>
      <x:c r="F90" s="97"/>
      <x:c r="G90" s="97"/>
      <x:c r="H90" s="97"/>
      <x:c r="I90" s="97"/>
      <x:c r="J90" s="97"/>
      <x:c r="K90" s="97"/>
      <x:c r="L90" s="97"/>
      <x:c r="M90" s="97"/>
      <x:c r="N90" s="97"/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</x:row>
    <x:row r="91">
      <x:c r="A91" s="97"/>
      <x:c r="B91" s="97"/>
      <x:c r="C91" s="97"/>
      <x:c r="D91" s="97"/>
      <x:c r="E91" s="97"/>
      <x:c r="F91" s="97"/>
      <x:c r="G91" s="97"/>
      <x:c r="H91" s="97"/>
      <x:c r="I91" s="97"/>
      <x:c r="J91" s="97"/>
      <x:c r="K91" s="97"/>
      <x:c r="L91" s="97"/>
      <x:c r="M91" s="97"/>
      <x:c r="N91" s="97"/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</x:row>
    <x:row r="92">
      <x:c r="A92" s="97"/>
      <x:c r="B92" s="97"/>
      <x:c r="C92" s="97"/>
      <x:c r="D92" s="97"/>
      <x:c r="E92" s="97"/>
      <x:c r="F92" s="97"/>
      <x:c r="G92" s="97"/>
      <x:c r="H92" s="97"/>
      <x:c r="I92" s="97"/>
      <x:c r="J92" s="97"/>
      <x:c r="K92" s="97"/>
      <x:c r="L92" s="97"/>
      <x:c r="M92" s="97"/>
      <x:c r="N92" s="97"/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</x:row>
    <x:row r="93">
      <x:c r="A93" s="97"/>
      <x:c r="B93" s="97"/>
      <x:c r="C93" s="97"/>
      <x:c r="D93" s="97"/>
      <x:c r="E93" s="97"/>
      <x:c r="F93" s="97"/>
      <x:c r="G93" s="97"/>
      <x:c r="H93" s="97"/>
      <x:c r="I93" s="97"/>
      <x:c r="J93" s="97"/>
      <x:c r="K93" s="97"/>
      <x:c r="L93" s="97"/>
      <x:c r="M93" s="97"/>
      <x:c r="N93" s="97"/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</x:row>
    <x:row r="94">
      <x:c r="A94" s="97"/>
      <x:c r="B94" s="97"/>
      <x:c r="C94" s="97"/>
      <x:c r="D94" s="97"/>
      <x:c r="E94" s="97"/>
      <x:c r="F94" s="97"/>
      <x:c r="G94" s="97"/>
      <x:c r="H94" s="97"/>
      <x:c r="I94" s="97"/>
      <x:c r="J94" s="97"/>
      <x:c r="K94" s="97"/>
      <x:c r="L94" s="97"/>
      <x:c r="M94" s="97"/>
      <x:c r="N94" s="97"/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</x:row>
    <x:row r="95">
      <x:c r="A95" s="97"/>
      <x:c r="B95" s="97"/>
      <x:c r="C95" s="97"/>
      <x:c r="D95" s="97"/>
      <x:c r="E95" s="97"/>
      <x:c r="F95" s="97"/>
      <x:c r="G95" s="97"/>
      <x:c r="H95" s="97"/>
      <x:c r="I95" s="97"/>
      <x:c r="J95" s="97"/>
      <x:c r="K95" s="97"/>
      <x:c r="L95" s="97"/>
      <x:c r="M95" s="97"/>
      <x:c r="N95" s="97"/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</x:row>
    <x:row r="96">
      <x:c r="A96" s="97"/>
      <x:c r="B96" s="97"/>
      <x:c r="C96" s="97"/>
      <x:c r="D96" s="97"/>
      <x:c r="E96" s="97"/>
      <x:c r="F96" s="97"/>
      <x:c r="G96" s="97"/>
      <x:c r="H96" s="97"/>
      <x:c r="I96" s="97"/>
      <x:c r="J96" s="97"/>
      <x:c r="K96" s="97"/>
      <x:c r="L96" s="97"/>
      <x:c r="M96" s="97"/>
      <x:c r="N96" s="97"/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</x:row>
    <x:row r="97">
      <x:c r="A97" s="97"/>
      <x:c r="B97" s="97"/>
      <x:c r="C97" s="97"/>
      <x:c r="D97" s="97"/>
      <x:c r="E97" s="97"/>
      <x:c r="F97" s="97"/>
      <x:c r="G97" s="97"/>
      <x:c r="H97" s="97"/>
      <x:c r="I97" s="97"/>
      <x:c r="J97" s="97"/>
      <x:c r="K97" s="97"/>
      <x:c r="L97" s="97"/>
      <x:c r="M97" s="97"/>
      <x:c r="N97" s="97"/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</x:row>
    <x:row r="98">
      <x:c r="A98" s="97"/>
      <x:c r="B98" s="97"/>
      <x:c r="C98" s="97"/>
      <x:c r="D98" s="97"/>
      <x:c r="E98" s="97"/>
      <x:c r="F98" s="97"/>
      <x:c r="G98" s="97"/>
      <x:c r="H98" s="97"/>
      <x:c r="I98" s="97"/>
      <x:c r="J98" s="97"/>
      <x:c r="K98" s="97"/>
      <x:c r="L98" s="97"/>
      <x:c r="M98" s="97"/>
      <x:c r="N98" s="97"/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</x:row>
    <x:row r="99">
      <x:c r="A99" s="97"/>
      <x:c r="B99" s="97"/>
      <x:c r="C99" s="97"/>
      <x:c r="D99" s="97"/>
      <x:c r="E99" s="97"/>
      <x:c r="F99" s="97"/>
      <x:c r="G99" s="97"/>
      <x:c r="H99" s="97"/>
      <x:c r="I99" s="97"/>
      <x:c r="J99" s="97"/>
      <x:c r="K99" s="97"/>
      <x:c r="L99" s="97"/>
      <x:c r="M99" s="97"/>
      <x:c r="N99" s="97"/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</x:row>
    <x:row r="100">
      <x:c r="A100" s="97"/>
      <x:c r="B100" s="97"/>
      <x:c r="C100" s="97"/>
      <x:c r="D100" s="97"/>
      <x:c r="E100" s="97"/>
      <x:c r="F100" s="97"/>
      <x:c r="G100" s="97"/>
      <x:c r="H100" s="97"/>
      <x:c r="I100" s="97"/>
      <x:c r="J100" s="97"/>
      <x:c r="K100" s="97"/>
      <x:c r="L100" s="97"/>
      <x:c r="M100" s="97"/>
      <x:c r="N100" s="97"/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</x:row>
  </x:sheetData>
  <x:pageMargins left="0.7" right="0.7" top="0.75" bottom="0.75" header="0.3" footer="0.3"/>
</x:worksheet>
</file>