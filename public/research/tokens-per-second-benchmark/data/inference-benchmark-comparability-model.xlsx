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9f711129d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f2968da5f514877"/>
    <x:sheet xmlns:r="http://schemas.openxmlformats.org/officeDocument/2006/relationships" name="METRIC_DEFS" sheetId="2" r:id="Re15a7187911e47a4"/>
    <x:sheet xmlns:r="http://schemas.openxmlformats.org/officeDocument/2006/relationships" name="SYSTEM" sheetId="3" r:id="R2e01686035be45d8"/>
    <x:sheet xmlns:r="http://schemas.openxmlformats.org/officeDocument/2006/relationships" name="WORKLOAD" sheetId="4" r:id="R224bfafee5a14caa"/>
    <x:sheet xmlns:r="http://schemas.openxmlformats.org/officeDocument/2006/relationships" name="LOAD" sheetId="5" r:id="R1874249f1ac947c4"/>
    <x:sheet xmlns:r="http://schemas.openxmlformats.org/officeDocument/2006/relationships" name="RESULT_A" sheetId="6" r:id="Rfdd12418cc474dee"/>
    <x:sheet xmlns:r="http://schemas.openxmlformats.org/officeDocument/2006/relationships" name="RESULT_B" sheetId="7" r:id="Rb446ce304dd54933"/>
    <x:sheet xmlns:r="http://schemas.openxmlformats.org/officeDocument/2006/relationships" name="NORMALIZATION" sheetId="8" r:id="R77a81d802a4a4576"/>
    <x:sheet xmlns:r="http://schemas.openxmlformats.org/officeDocument/2006/relationships" name="SLO" sheetId="9" r:id="Rd05b1c4c9f7148bf"/>
    <x:sheet xmlns:r="http://schemas.openxmlformats.org/officeDocument/2006/relationships" name="COMPARABILITY" sheetId="10" r:id="R270762d3ac30414c"/>
    <x:sheet xmlns:r="http://schemas.openxmlformats.org/officeDocument/2006/relationships" name="SENSITIVITY" sheetId="11" r:id="R94fcd29462af4245"/>
    <x:sheet xmlns:r="http://schemas.openxmlformats.org/officeDocument/2006/relationships" name="SOURCES" sheetId="12" r:id="Rf021ff0d8239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10F"/>
      <x:name val="Carlito"/>
    </x:font>
    <x:font>
      <x:b/>
      <x:sz val="11"/>
      <x:color rgb="FFFFFFFF"/>
      <x:name val="Carlito"/>
    </x:font>
    <x:font>
      <x:b/>
      <x:sz val="11"/>
      <x:color rgb="FF11110F"/>
      <x:name val="Carlito"/>
    </x:font>
    <x:font>
      <x:sz val="11"/>
      <x:color rgb="FF11110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FFF4D6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9059c8b7849ba" /><Relationship Type="http://schemas.openxmlformats.org/officeDocument/2006/relationships/theme" Target="/xl/theme/theme1.xml" Id="Rad1b1db65f424cfb" /><Relationship Type="http://schemas.openxmlformats.org/officeDocument/2006/relationships/sharedStrings" Target="/xl/sharedStrings.xml" Id="R7d44b43a14c94b6a" /><Relationship Type="http://schemas.openxmlformats.org/officeDocument/2006/relationships/worksheet" Target="/xl/worksheets/sheet1.xml" Id="Rcf2968da5f514877" /><Relationship Type="http://schemas.openxmlformats.org/officeDocument/2006/relationships/worksheet" Target="/xl/worksheets/sheet2.xml" Id="Re15a7187911e47a4" /><Relationship Type="http://schemas.openxmlformats.org/officeDocument/2006/relationships/worksheet" Target="/xl/worksheets/sheet3.xml" Id="R2e01686035be45d8" /><Relationship Type="http://schemas.openxmlformats.org/officeDocument/2006/relationships/worksheet" Target="/xl/worksheets/sheet4.xml" Id="R224bfafee5a14caa" /><Relationship Type="http://schemas.openxmlformats.org/officeDocument/2006/relationships/worksheet" Target="/xl/worksheets/sheet5.xml" Id="R1874249f1ac947c4" /><Relationship Type="http://schemas.openxmlformats.org/officeDocument/2006/relationships/worksheet" Target="/xl/worksheets/sheet6.xml" Id="Rfdd12418cc474dee" /><Relationship Type="http://schemas.openxmlformats.org/officeDocument/2006/relationships/worksheet" Target="/xl/worksheets/sheet7.xml" Id="Rb446ce304dd54933" /><Relationship Type="http://schemas.openxmlformats.org/officeDocument/2006/relationships/worksheet" Target="/xl/worksheets/sheet8.xml" Id="R77a81d802a4a4576" /><Relationship Type="http://schemas.openxmlformats.org/officeDocument/2006/relationships/worksheet" Target="/xl/worksheets/sheet9.xml" Id="Rd05b1c4c9f7148bf" /><Relationship Type="http://schemas.openxmlformats.org/officeDocument/2006/relationships/worksheet" Target="/xl/worksheets/sheet10.xml" Id="R270762d3ac30414c" /><Relationship Type="http://schemas.openxmlformats.org/officeDocument/2006/relationships/worksheet" Target="/xl/worksheets/sheet11.xml" Id="R94fcd29462af4245" /><Relationship Type="http://schemas.openxmlformats.org/officeDocument/2006/relationships/worksheet" Target="/xl/worksheets/sheet12.xml" Id="Rf021ff0d823949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24" t="str">
        <x:v>SECOND / PASS — Inference Benchmark Comparability Model</x:v>
      </x:c>
      <x:c r="B1" s="25"/>
    </x:row>
    <x:row r="2">
      <x:c r="A2" s="25"/>
      <x:c r="B2" s="25"/>
    </x:row>
    <x:row r="3">
      <x:c r="A3" s="8" t="str">
        <x:v>Formula-driven comparison gate for LLM inference benchmark results. A bare tokens/s label is insufficient: the workbook records metric semantics, benchmark mode, workload, load, system configuration, latency/SLO, failures, and quality before declaring two results directly comparable.</x:v>
      </x:c>
      <x:c r="B3" s="25"/>
    </x:row>
    <x:row r="4">
      <x:c r="A4" s="25"/>
      <x:c r="B4" s="25"/>
    </x:row>
    <x:row r="5">
      <x:c r="A5" s="25"/>
      <x:c r="B5" s="25"/>
    </x:row>
    <x:row r="6">
      <x:c r="A6" s="25"/>
      <x:c r="B6" s="25"/>
    </x:row>
    <x:row r="7">
      <x:c r="A7" s="26" t="str">
        <x:v>Sheet</x:v>
      </x:c>
      <x:c r="B7" s="26" t="str">
        <x:v>Purpose</x:v>
      </x:c>
    </x:row>
    <x:row r="8">
      <x:c r="A8" s="25" t="str">
        <x:v>METRIC_DEFS</x:v>
      </x:c>
      <x:c r="B8" s="25" t="str">
        <x:v>Human-readable metric semantic IDs and numerator/denominator/scope definitions</x:v>
      </x:c>
    </x:row>
    <x:row r="9">
      <x:c r="A9" s="25" t="str">
        <x:v>SYSTEM</x:v>
      </x:c>
      <x:c r="B9" s="25" t="str">
        <x:v>Model, precision, runtime, accelerator, parallelism and quality identity for Result A/B</x:v>
      </x:c>
    </x:row>
    <x:row r="10">
      <x:c r="A10" s="25" t="str">
        <x:v>WORKLOAD</x:v>
      </x:c>
      <x:c r="B10" s="25" t="str">
        <x:v>ISL/OSL and sampling/output-rule identity</x:v>
      </x:c>
    </x:row>
    <x:row r="11">
      <x:c r="A11" s="25" t="str">
        <x:v>LOAD</x:v>
      </x:c>
      <x:c r="B11" s="25" t="str">
        <x:v>Serving/offline mode, offered load, duration and timing boundaries</x:v>
      </x:c>
    </x:row>
    <x:row r="12">
      <x:c r="A12" s="25" t="str">
        <x:v>RESULT_A</x:v>
      </x:c>
      <x:c r="B12" s="25" t="str">
        <x:v>Result A raw inputs and derived throughput/goodput metrics</x:v>
      </x:c>
    </x:row>
    <x:row r="13">
      <x:c r="A13" s="25" t="str">
        <x:v>RESULT_B</x:v>
      </x:c>
      <x:c r="B13" s="25" t="str">
        <x:v>Result B raw inputs and derived throughput/goodput metrics</x:v>
      </x:c>
    </x:row>
    <x:row r="14">
      <x:c r="A14" s="25" t="str">
        <x:v>NORMALIZATION</x:v>
      </x:c>
      <x:c r="B14" s="25" t="str">
        <x:v>Metric semantic/system/workload/load/SLO match checks</x:v>
      </x:c>
    </x:row>
    <x:row r="15">
      <x:c r="A15" s="25" t="str">
        <x:v>SLO</x:v>
      </x:c>
      <x:c r="B15" s="25" t="str">
        <x:v>SLO thresholds and percentile applicability checks</x:v>
      </x:c>
    </x:row>
    <x:row r="16">
      <x:c r="A16" s="25" t="str">
        <x:v>COMPARABILITY</x:v>
      </x:c>
      <x:c r="B16" s="25" t="str">
        <x:v>Final comparison gate and exact blocking reason</x:v>
      </x:c>
    </x:row>
    <x:row r="17">
      <x:c r="A17" s="25" t="str">
        <x:v>SENSITIVITY</x:v>
      </x:c>
      <x:c r="B17" s="25" t="str">
        <x:v>Algebraic proofs and counterexamples used in the article</x:v>
      </x:c>
    </x:row>
    <x:row r="18">
      <x:c r="A18" s="25" t="str">
        <x:v>SOURCES</x:v>
      </x:c>
      <x:c r="B18" s="25" t="str">
        <x:v>Current primary/official benchmark documentation</x:v>
      </x:c>
    </x:row>
    <x:row r="19">
      <x:c r="A19" s="25"/>
      <x:c r="B19" s="25"/>
    </x:row>
    <x:row r="20">
      <x:c r="A20" s="25"/>
      <x:c r="B20" s="25"/>
    </x:row>
    <x:row r="21">
      <x:c r="A21" s="27" t="str">
        <x:v>RULE</x:v>
      </x:c>
      <x:c r="B21" s="21" t="str">
        <x:v>Metric names can match while definitions differ. Semantic ID controls comparison.</x:v>
      </x:c>
    </x:row>
    <x:row r="22">
      <x:c r="A22" s="27" t="str">
        <x:v>RULE</x:v>
      </x:c>
      <x:c r="B22" s="21" t="str">
        <x:v>OUTPUT_TOKENS/WALL_SECOND and TOTAL_TOKENS/WALL_SECOND are not directly comparable.</x:v>
      </x:c>
    </x:row>
    <x:row r="23">
      <x:c r="A23" s="27" t="str">
        <x:v>RULE</x:v>
      </x:c>
      <x:c r="B23" s="21" t="str">
        <x:v>SERVING and OFFLINE are distinct operating regimes unless the buyer explicitly accepts that difference.</x:v>
      </x:c>
    </x:row>
    <x:row r="24">
      <x:c r="A24" s="27" t="str">
        <x:v>RULE</x:v>
      </x:c>
      <x:c r="B24" s="21" t="str">
        <x:v>Do not derive request throughput from output TPS when mean OSL is missing or zero.</x:v>
      </x:c>
    </x:row>
    <x:row r="25">
      <x:c r="A25" s="27" t="str">
        <x:v>RULE</x:v>
      </x:c>
      <x:c r="B25" s="21" t="str">
        <x:v>UNKNOWN or missing decision-critical metadata returns INSUFFICIENT METADATA.</x:v>
      </x:c>
    </x:row>
    <x:row r="26">
      <x:c r="A26" s="27" t="str">
        <x:v>RULE</x:v>
      </x:c>
      <x:c r="B26" s="21" t="str">
        <x:v>No field is silently filled from the other result.</x:v>
      </x:c>
    </x:row>
    <x:row r="27">
      <x:c r="A27" s="25"/>
      <x:c r="B27" s="25"/>
    </x:row>
    <x:row r="28">
      <x:c r="A28" s="25"/>
      <x:c r="B28" s="25"/>
    </x:row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26" t="str">
        <x:v>Semantic ID</x:v>
      </x:c>
      <x:c r="B1" s="26" t="str">
        <x:v>Metric label</x:v>
      </x:c>
      <x:c r="C1" s="26" t="str">
        <x:v>Numerator</x:v>
      </x:c>
      <x:c r="D1" s="26" t="str">
        <x:v>Denominator</x:v>
      </x:c>
      <x:c r="E1" s="26" t="str">
        <x:v>Scope</x:v>
      </x:c>
      <x:c r="F1" s="26" t="str">
        <x:v>Aggregation</x:v>
      </x:c>
      <x:c r="G1" s="26" t="str">
        <x:v>Unit</x:v>
      </x:c>
    </x:row>
    <x:row r="2">
      <x:c r="A2" s="25" t="str">
        <x:v>OUTPUT_TOKENS/WALL_SECOND/AGGREGATE/COMPLETED_REQUESTS</x:v>
      </x:c>
      <x:c r="B2" s="25" t="str">
        <x:v>Output token throughput</x:v>
      </x:c>
      <x:c r="C2" s="25" t="str">
        <x:v>completed output tokens</x:v>
      </x:c>
      <x:c r="D2" s="25" t="str">
        <x:v>benchmark wall-clock duration</x:v>
      </x:c>
      <x:c r="E2" s="25" t="str">
        <x:v>successful/completed benchmark requests</x:v>
      </x:c>
      <x:c r="F2" s="25" t="str">
        <x:v>aggregate sum</x:v>
      </x:c>
      <x:c r="G2" s="25" t="str">
        <x:v>tokens/s</x:v>
      </x:c>
    </x:row>
    <x:row r="3">
      <x:c r="A3" s="25" t="str">
        <x:v>INPUT_TOKENS/WALL_SECOND/AGGREGATE/COMPLETED_REQUESTS</x:v>
      </x:c>
      <x:c r="B3" s="25" t="str">
        <x:v>Input token throughput</x:v>
      </x:c>
      <x:c r="C3" s="25" t="str">
        <x:v>completed input tokens</x:v>
      </x:c>
      <x:c r="D3" s="25" t="str">
        <x:v>benchmark wall-clock duration</x:v>
      </x:c>
      <x:c r="E3" s="25" t="str">
        <x:v>successful/completed benchmark requests</x:v>
      </x:c>
      <x:c r="F3" s="25" t="str">
        <x:v>aggregate sum</x:v>
      </x:c>
      <x:c r="G3" s="25" t="str">
        <x:v>tokens/s</x:v>
      </x:c>
    </x:row>
    <x:row r="4">
      <x:c r="A4" s="25" t="str">
        <x:v>TOTAL_TOKENS/WALL_SECOND/AGGREGATE/COMPLETED_REQUESTS</x:v>
      </x:c>
      <x:c r="B4" s="25" t="str">
        <x:v>Total token throughput</x:v>
      </x:c>
      <x:c r="C4" s="25" t="str">
        <x:v>input + output tokens</x:v>
      </x:c>
      <x:c r="D4" s="25" t="str">
        <x:v>benchmark wall-clock duration</x:v>
      </x:c>
      <x:c r="E4" s="25" t="str">
        <x:v>successful/completed benchmark requests</x:v>
      </x:c>
      <x:c r="F4" s="25" t="str">
        <x:v>aggregate sum</x:v>
      </x:c>
      <x:c r="G4" s="25" t="str">
        <x:v>tokens/s</x:v>
      </x:c>
    </x:row>
    <x:row r="5">
      <x:c r="A5" s="25" t="str">
        <x:v>REQUESTS/WALL_SECOND/AGGREGATE/COMPLETED_REQUESTS</x:v>
      </x:c>
      <x:c r="B5" s="25" t="str">
        <x:v>Request throughput</x:v>
      </x:c>
      <x:c r="C5" s="25" t="str">
        <x:v>completed requests</x:v>
      </x:c>
      <x:c r="D5" s="25" t="str">
        <x:v>benchmark wall-clock duration</x:v>
      </x:c>
      <x:c r="E5" s="25" t="str">
        <x:v>benchmark run</x:v>
      </x:c>
      <x:c r="F5" s="25" t="str">
        <x:v>aggregate count</x:v>
      </x:c>
      <x:c r="G5" s="25" t="str">
        <x:v>requests/s</x:v>
      </x:c>
    </x:row>
    <x:row r="6">
      <x:c r="A6" s="25" t="str">
        <x:v>SLO_REQUESTS/WALL_SECOND/AGGREGATE</x:v>
      </x:c>
      <x:c r="B6" s="25" t="str">
        <x:v>Request goodput</x:v>
      </x:c>
      <x:c r="C6" s="25" t="str">
        <x:v>requests meeting all configured SLOs</x:v>
      </x:c>
      <x:c r="D6" s="25" t="str">
        <x:v>benchmark wall-clock duration</x:v>
      </x:c>
      <x:c r="E6" s="25" t="str">
        <x:v>benchmark run</x:v>
      </x:c>
      <x:c r="F6" s="25" t="str">
        <x:v>aggregate count</x:v>
      </x:c>
      <x:c r="G6" s="25" t="str">
        <x:v>good requests/s</x:v>
      </x:c>
    </x:row>
    <x:row r="7">
      <x:c r="A7" s="25" t="str">
        <x:v>OUTPUT_TOKENS/ITL_SECOND/PER_REQUEST</x:v>
      </x:c>
      <x:c r="B7" s="25" t="str">
        <x:v>Per-user output token throughput</x:v>
      </x:c>
      <x:c r="C7" s="25" t="str">
        <x:v>1</x:v>
      </x:c>
      <x:c r="D7" s="25" t="str">
        <x:v>per-request ITL in seconds</x:v>
      </x:c>
      <x:c r="E7" s="25" t="str">
        <x:v>single request/user</x:v>
      </x:c>
      <x:c r="F7" s="25" t="str">
        <x:v>record metric</x:v>
      </x:c>
      <x:c r="G7" s="25" t="str">
        <x:v>tokens/s/user</x:v>
      </x:c>
    </x:row>
    <x:row r="8">
      <x:c r="A8" s="25"/>
      <x:c r="B8" s="25"/>
      <x:c r="C8" s="25"/>
      <x:c r="D8" s="25"/>
      <x:c r="E8" s="25"/>
      <x:c r="F8" s="25"/>
      <x:c r="G8" s="25"/>
    </x:row>
    <x:row r="9">
      <x:c r="A9" s="25"/>
      <x:c r="B9" s="25"/>
      <x:c r="C9" s="25"/>
      <x:c r="D9" s="25"/>
      <x:c r="E9" s="25"/>
      <x:c r="F9" s="25"/>
      <x:c r="G9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26" t="str">
        <x:v>System field</x:v>
      </x:c>
      <x:c r="B1" s="26" t="str">
        <x:v>Result A</x:v>
      </x:c>
      <x:c r="C1" s="26" t="str">
        <x:v>Result B</x:v>
      </x:c>
      <x:c r="D1" s="26" t="str">
        <x:v>Match</x:v>
      </x:c>
    </x:row>
    <x:row r="2">
      <x:c r="A2" s="25" t="str">
        <x:v>Model</x:v>
      </x:c>
      <x:c r="B2" s="36" t="str">
        <x:v>BUYER_MODEL</x:v>
      </x:c>
      <x:c r="C2" s="36" t="str">
        <x:v>BUYER_MODEL</x:v>
      </x:c>
      <x:c r="D2" s="37" t="str">
        <x:f>IF(OR(B2="",C2=""),"MISSING",IF(B2=C2,"MATCH","DIFFERENT"))</x:f>
        <x:v>MATCH</x:v>
      </x:c>
    </x:row>
    <x:row r="3">
      <x:c r="A3" s="25" t="str">
        <x:v>Model revision</x:v>
      </x:c>
      <x:c r="B3" s="36" t="str">
        <x:v>REV_A</x:v>
      </x:c>
      <x:c r="C3" s="36" t="str">
        <x:v>REV_A</x:v>
      </x:c>
      <x:c r="D3" s="37" t="str">
        <x:f>IF(OR(B3="",C3=""),"MISSING",IF(B3=C3,"MATCH","DIFFERENT"))</x:f>
        <x:v>MATCH</x:v>
      </x:c>
    </x:row>
    <x:row r="4">
      <x:c r="A4" s="25" t="str">
        <x:v>Precision / quantization</x:v>
      </x:c>
      <x:c r="B4" s="36" t="str">
        <x:v>BF16</x:v>
      </x:c>
      <x:c r="C4" s="36" t="str">
        <x:v>BF16</x:v>
      </x:c>
      <x:c r="D4" s="37" t="str">
        <x:f>IF(OR(B4="",C4=""),"MISSING",IF(B4=C4,"MATCH","DIFFERENT"))</x:f>
        <x:v>MATCH</x:v>
      </x:c>
    </x:row>
    <x:row r="5">
      <x:c r="A5" s="25" t="str">
        <x:v>Reasoning mode</x:v>
      </x:c>
      <x:c r="B5" s="36" t="str">
        <x:v>OFF</x:v>
      </x:c>
      <x:c r="C5" s="36" t="str">
        <x:v>OFF</x:v>
      </x:c>
      <x:c r="D5" s="37" t="str">
        <x:f>IF(OR(B5="",C5=""),"MISSING",IF(B5=C5,"MATCH","DIFFERENT"))</x:f>
        <x:v>MATCH</x:v>
      </x:c>
    </x:row>
    <x:row r="6">
      <x:c r="A6" s="25" t="str">
        <x:v>Runtime</x:v>
      </x:c>
      <x:c r="B6" s="36" t="str">
        <x:v>BUYER_RUNTIME</x:v>
      </x:c>
      <x:c r="C6" s="36" t="str">
        <x:v>BUYER_RUNTIME</x:v>
      </x:c>
      <x:c r="D6" s="37" t="str">
        <x:f>IF(OR(B6="",C6=""),"MISSING",IF(B6=C6,"MATCH","DIFFERENT"))</x:f>
        <x:v>MATCH</x:v>
      </x:c>
    </x:row>
    <x:row r="7">
      <x:c r="A7" s="25" t="str">
        <x:v>Runtime version</x:v>
      </x:c>
      <x:c r="B7" s="36" t="str">
        <x:v>1.0</x:v>
      </x:c>
      <x:c r="C7" s="36" t="str">
        <x:v>1.0</x:v>
      </x:c>
      <x:c r="D7" s="37" t="str">
        <x:f>IF(OR(B7="",C7=""),"MISSING",IF(B7=C7,"MATCH","DIFFERENT"))</x:f>
        <x:v>MATCH</x:v>
      </x:c>
    </x:row>
    <x:row r="8">
      <x:c r="A8" s="25" t="str">
        <x:v>Parallelism</x:v>
      </x:c>
      <x:c r="B8" s="36" t="str">
        <x:v>TP=4</x:v>
      </x:c>
      <x:c r="C8" s="36" t="str">
        <x:v>TP=4</x:v>
      </x:c>
      <x:c r="D8" s="37" t="str">
        <x:f>IF(OR(B8="",C8=""),"MISSING",IF(B8=C8,"MATCH","DIFFERENT"))</x:f>
        <x:v>MATCH</x:v>
      </x:c>
    </x:row>
    <x:row r="9">
      <x:c r="A9" s="25" t="str">
        <x:v>Accelerator</x:v>
      </x:c>
      <x:c r="B9" s="36" t="str">
        <x:v>BUYER_GPU</x:v>
      </x:c>
      <x:c r="C9" s="36" t="str">
        <x:v>BUYER_GPU</x:v>
      </x:c>
      <x:c r="D9" s="37" t="str">
        <x:f>IF(OR(B9="",C9=""),"MISSING",IF(B9=C9,"MATCH","DIFFERENT"))</x:f>
        <x:v>MATCH</x:v>
      </x:c>
    </x:row>
    <x:row r="10">
      <x:c r="A10" s="25" t="str">
        <x:v>Host count</x:v>
      </x:c>
      <x:c r="B10" s="36" t="n">
        <x:v>1</x:v>
      </x:c>
      <x:c r="C10" s="36" t="n">
        <x:v>1</x:v>
      </x:c>
      <x:c r="D10" s="37" t="str">
        <x:f>IF(OR(B10="",C10=""),"MISSING",IF(B10=C10,"MATCH","DIFFERENT"))</x:f>
        <x:v>MATCH</x:v>
      </x:c>
    </x:row>
    <x:row r="11">
      <x:c r="A11" s="25" t="str">
        <x:v>Interconnect</x:v>
      </x:c>
      <x:c r="B11" s="36" t="str">
        <x:v>SINGLE_HOST</x:v>
      </x:c>
      <x:c r="C11" s="36" t="str">
        <x:v>SINGLE_HOST</x:v>
      </x:c>
      <x:c r="D11" s="37" t="str">
        <x:f>IF(OR(B11="",C11=""),"MISSING",IF(B11=C11,"MATCH","DIFFERENT"))</x:f>
        <x:v>MATCH</x:v>
      </x:c>
    </x:row>
    <x:row r="12">
      <x:c r="A12" s="25" t="str">
        <x:v>Quality / accuracy status</x:v>
      </x:c>
      <x:c r="B12" s="36" t="str">
        <x:v>PASS</x:v>
      </x:c>
      <x:c r="C12" s="36" t="str">
        <x:v>PASS</x:v>
      </x:c>
      <x:c r="D12" s="37" t="str">
        <x:f>IF(OR(B12="",C12=""),"MISSING",IF(B12=C12,"MATCH","DIFFERENT"))</x:f>
        <x:v>MATCH</x:v>
      </x:c>
    </x:row>
    <x:row r="13">
      <x:c r="A13" s="25"/>
      <x:c r="B13" s="25"/>
      <x:c r="C13" s="25"/>
      <x:c r="D13" s="25"/>
    </x:row>
    <x:row r="14">
      <x:c r="A14" s="25"/>
      <x:c r="B14" s="25"/>
      <x:c r="C14" s="25"/>
      <x:c r="D14" s="2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4" hidden="0" customWidth="1"/>
    <x:col min="4" max="4" width="18" hidden="0" customWidth="1"/>
  </x:cols>
  <x:sheetData>
    <x:row r="1">
      <x:c r="A1" s="26" t="str">
        <x:v>Workload field</x:v>
      </x:c>
      <x:c r="B1" s="26" t="str">
        <x:v>Result A</x:v>
      </x:c>
      <x:c r="C1" s="26" t="str">
        <x:v>Result B</x:v>
      </x:c>
      <x:c r="D1" s="26" t="str">
        <x:v>Match</x:v>
      </x:c>
    </x:row>
    <x:row r="2">
      <x:c r="A2" s="25" t="str">
        <x:v>Mean ISL</x:v>
      </x:c>
      <x:c r="B2" s="36" t="n">
        <x:v>512</x:v>
      </x:c>
      <x:c r="C2" s="36" t="n">
        <x:v>512</x:v>
      </x:c>
      <x:c r="D2" s="37" t="str">
        <x:f>IF(OR(B2="",C2=""),"MISSING",IF(B2=C2,"MATCH","DIFFERENT"))</x:f>
        <x:v>MATCH</x:v>
      </x:c>
    </x:row>
    <x:row r="3">
      <x:c r="A3" s="25" t="str">
        <x:v>p50 ISL</x:v>
      </x:c>
      <x:c r="B3" s="36" t="n">
        <x:v>512</x:v>
      </x:c>
      <x:c r="C3" s="36" t="n">
        <x:v>512</x:v>
      </x:c>
      <x:c r="D3" s="37" t="str">
        <x:f>IF(OR(B3="",C3=""),"MISSING",IF(B3=C3,"MATCH","DIFFERENT"))</x:f>
        <x:v>MATCH</x:v>
      </x:c>
    </x:row>
    <x:row r="4">
      <x:c r="A4" s="25" t="str">
        <x:v>p95 ISL</x:v>
      </x:c>
      <x:c r="B4" s="36" t="n">
        <x:v>512</x:v>
      </x:c>
      <x:c r="C4" s="36" t="n">
        <x:v>512</x:v>
      </x:c>
      <x:c r="D4" s="37" t="str">
        <x:f>IF(OR(B4="",C4=""),"MISSING",IF(B4=C4,"MATCH","DIFFERENT"))</x:f>
        <x:v>MATCH</x:v>
      </x:c>
    </x:row>
    <x:row r="5">
      <x:c r="A5" s="25" t="str">
        <x:v>Mean OSL</x:v>
      </x:c>
      <x:c r="B5" s="36" t="n">
        <x:v>100</x:v>
      </x:c>
      <x:c r="C5" s="36" t="n">
        <x:v>100</x:v>
      </x:c>
      <x:c r="D5" s="37" t="str">
        <x:f>IF(OR(B5="",C5=""),"MISSING",IF(B5=C5,"MATCH","DIFFERENT"))</x:f>
        <x:v>MATCH</x:v>
      </x:c>
    </x:row>
    <x:row r="6">
      <x:c r="A6" s="25" t="str">
        <x:v>p50 OSL</x:v>
      </x:c>
      <x:c r="B6" s="36" t="n">
        <x:v>100</x:v>
      </x:c>
      <x:c r="C6" s="36" t="n">
        <x:v>100</x:v>
      </x:c>
      <x:c r="D6" s="37" t="str">
        <x:f>IF(OR(B6="",C6=""),"MISSING",IF(B6=C6,"MATCH","DIFFERENT"))</x:f>
        <x:v>MATCH</x:v>
      </x:c>
    </x:row>
    <x:row r="7">
      <x:c r="A7" s="25" t="str">
        <x:v>p95 OSL</x:v>
      </x:c>
      <x:c r="B7" s="36" t="n">
        <x:v>100</x:v>
      </x:c>
      <x:c r="C7" s="36" t="n">
        <x:v>100</x:v>
      </x:c>
      <x:c r="D7" s="37" t="str">
        <x:f>IF(OR(B7="",C7=""),"MISSING",IF(B7=C7,"MATCH","DIFFERENT"))</x:f>
        <x:v>MATCH</x:v>
      </x:c>
    </x:row>
    <x:row r="8">
      <x:c r="A8" s="25" t="str">
        <x:v>Sampling/output rule</x:v>
      </x:c>
      <x:c r="B8" s="36" t="str">
        <x:v>temperature=0; max_tokens=100; ignore_eos=true</x:v>
      </x:c>
      <x:c r="C8" s="36" t="str">
        <x:v>temperature=0; max_tokens=100; ignore_eos=true</x:v>
      </x:c>
      <x:c r="D8" s="37" t="str">
        <x:f>IF(OR(B8="",C8=""),"MISSING",IF(B8=C8,"MATCH","DIFFERENT"))</x:f>
        <x:v>MATCH</x:v>
      </x:c>
    </x:row>
    <x:row r="9">
      <x:c r="A9" s="25" t="str">
        <x:v>Dataset/task identity</x:v>
      </x:c>
      <x:c r="B9" s="36" t="str">
        <x:v>BUYER_DATASET</x:v>
      </x:c>
      <x:c r="C9" s="36" t="str">
        <x:v>BUYER_DATASET</x:v>
      </x:c>
      <x:c r="D9" s="37" t="str">
        <x:f>IF(OR(B9="",C9=""),"MISSING",IF(B9=C9,"MATCH","DIFFERENT"))</x:f>
        <x:v>MATCH</x:v>
      </x:c>
    </x:row>
    <x:row r="10">
      <x:c r="A10" s="25"/>
      <x:c r="B10" s="25"/>
      <x:c r="C10" s="25"/>
      <x:c r="D10" s="25"/>
    </x:row>
    <x:row r="11">
      <x:c r="A11" s="25"/>
      <x:c r="B11" s="25"/>
      <x:c r="C11" s="25"/>
      <x:c r="D11" s="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40" hidden="0" customWidth="1"/>
    <x:col min="4" max="4" width="18" hidden="0" customWidth="1"/>
  </x:cols>
  <x:sheetData>
    <x:row r="1">
      <x:c r="A1" s="26" t="str">
        <x:v>Load field</x:v>
      </x:c>
      <x:c r="B1" s="26" t="str">
        <x:v>Result A</x:v>
      </x:c>
      <x:c r="C1" s="26" t="str">
        <x:v>Result B</x:v>
      </x:c>
      <x:c r="D1" s="26" t="str">
        <x:v>Match</x:v>
      </x:c>
    </x:row>
    <x:row r="2">
      <x:c r="A2" s="25" t="str">
        <x:v>Benchmark mode</x:v>
      </x:c>
      <x:c r="B2" s="36" t="str">
        <x:v>SERVING</x:v>
      </x:c>
      <x:c r="C2" s="36" t="str">
        <x:v>SERVING</x:v>
      </x:c>
      <x:c r="D2" s="37" t="str">
        <x:f>IF(OR(B2="",C2=""),"MISSING",IF(B2=C2,"MATCH","DIFFERENT"))</x:f>
        <x:v>MATCH</x:v>
      </x:c>
    </x:row>
    <x:row r="3">
      <x:c r="A3" s="25" t="str">
        <x:v>Duration</x:v>
      </x:c>
      <x:c r="B3" s="36" t="n">
        <x:v>100</x:v>
      </x:c>
      <x:c r="C3" s="36" t="n">
        <x:v>100</x:v>
      </x:c>
      <x:c r="D3" s="37" t="str">
        <x:f>IF(OR(B3="",C3=""),"MISSING",IF(B3=C3,"MATCH","DIFFERENT"))</x:f>
        <x:v>MATCH</x:v>
      </x:c>
    </x:row>
    <x:row r="4">
      <x:c r="A4" s="25" t="str">
        <x:v>Request rate (req/s)</x:v>
      </x:c>
      <x:c r="B4" s="36" t="n">
        <x:v>10</x:v>
      </x:c>
      <x:c r="C4" s="36" t="n">
        <x:v>10</x:v>
      </x:c>
      <x:c r="D4" s="37" t="str">
        <x:f>IF(OR(B4="",C4=""),"MISSING",IF(B4=C4,"MATCH","DIFFERENT"))</x:f>
        <x:v>MATCH</x:v>
      </x:c>
    </x:row>
    <x:row r="5">
      <x:c r="A5" s="25" t="str">
        <x:v>Concurrency</x:v>
      </x:c>
      <x:c r="B5" s="36" t="n">
        <x:v>32</x:v>
      </x:c>
      <x:c r="C5" s="36" t="n">
        <x:v>32</x:v>
      </x:c>
      <x:c r="D5" s="37" t="str">
        <x:f>IF(OR(B5="",C5=""),"MISSING",IF(B5=C5,"MATCH","DIFFERENT"))</x:f>
        <x:v>MATCH</x:v>
      </x:c>
    </x:row>
    <x:row r="6">
      <x:c r="A6" s="25" t="str">
        <x:v>Warmup policy</x:v>
      </x:c>
      <x:c r="B6" s="36" t="str">
        <x:v>10 warmup requests excluded</x:v>
      </x:c>
      <x:c r="C6" s="36" t="str">
        <x:v>10 warmup requests excluded</x:v>
      </x:c>
      <x:c r="D6" s="37" t="str">
        <x:f>IF(OR(B6="",C6=""),"MISSING",IF(B6=C6,"MATCH","DIFFERENT"))</x:f>
        <x:v>MATCH</x:v>
      </x:c>
    </x:row>
    <x:row r="7">
      <x:c r="A7" s="25" t="str">
        <x:v>Timing start boundary</x:v>
      </x:c>
      <x:c r="B7" s="36" t="str">
        <x:v>first benchmark request issued</x:v>
      </x:c>
      <x:c r="C7" s="36" t="str">
        <x:v>first benchmark request issued</x:v>
      </x:c>
      <x:c r="D7" s="37" t="str">
        <x:f>IF(OR(B7="",C7=""),"MISSING",IF(B7=C7,"MATCH","DIFFERENT"))</x:f>
        <x:v>MATCH</x:v>
      </x:c>
    </x:row>
    <x:row r="8">
      <x:c r="A8" s="25" t="str">
        <x:v>Timing end boundary</x:v>
      </x:c>
      <x:c r="B8" s="36" t="str">
        <x:v>last benchmark response received</x:v>
      </x:c>
      <x:c r="C8" s="36" t="str">
        <x:v>last benchmark response received</x:v>
      </x:c>
      <x:c r="D8" s="37" t="str">
        <x:f>IF(OR(B8="",C8=""),"MISSING",IF(B8=C8,"MATCH","DIFFERENT"))</x:f>
        <x:v>MATCH</x:v>
      </x:c>
    </x:row>
    <x:row r="9">
      <x:c r="A9" s="25" t="str">
        <x:v>Arrival model</x:v>
      </x:c>
      <x:c r="B9" s="36" t="str">
        <x:v>open-loop Poisson</x:v>
      </x:c>
      <x:c r="C9" s="36" t="str">
        <x:v>open-loop Poisson</x:v>
      </x:c>
      <x:c r="D9" s="37" t="str">
        <x:f>IF(OR(B9="",C9=""),"MISSING",IF(B9=C9,"MATCH","DIFFERENT"))</x:f>
        <x:v>MATCH</x:v>
      </x:c>
    </x:row>
    <x:row r="10">
      <x:c r="A10" s="25"/>
      <x:c r="B10" s="25"/>
      <x:c r="C10" s="25"/>
      <x:c r="D10" s="25"/>
    </x:row>
    <x:row r="11">
      <x:c r="A11" s="25"/>
      <x:c r="B11" s="25"/>
      <x:c r="C11" s="25"/>
      <x:c r="D11" s="2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0" hidden="0" customWidth="1"/>
    <x:col min="4" max="4" width="46" hidden="0" customWidth="1"/>
  </x:cols>
  <x:sheetData>
    <x:row r="1">
      <x:c r="A1" s="26" t="str">
        <x:v>Raw / derived field</x:v>
      </x:c>
      <x:c r="B1" s="26" t="str">
        <x:v>Value</x:v>
      </x:c>
      <x:c r="C1" s="26" t="str">
        <x:v>Unit</x:v>
      </x:c>
      <x:c r="D1" s="26" t="str">
        <x:v>State / note</x:v>
      </x:c>
    </x:row>
    <x:row r="2">
      <x:c r="A2" s="25" t="str">
        <x:v>Metric label</x:v>
      </x:c>
      <x:c r="B2" s="36" t="str">
        <x:v>Output token throughput</x:v>
      </x:c>
      <x:c r="C2" s="25" t="str"/>
      <x:c r="D2" s="25" t="str">
        <x:v>INPUT</x:v>
      </x:c>
    </x:row>
    <x:row r="3">
      <x:c r="A3" s="25" t="str">
        <x:v>Metric semantic ID</x:v>
      </x:c>
      <x:c r="B3" s="36" t="str">
        <x:v>OUTPUT_TOKENS/WALL_SECOND/AGGREGATE/COMPLETED_REQUESTS</x:v>
      </x:c>
      <x:c r="C3" s="25" t="str"/>
      <x:c r="D3" s="25" t="str">
        <x:v>INPUT</x:v>
      </x:c>
    </x:row>
    <x:row r="4">
      <x:c r="A4" s="25" t="str">
        <x:v>Duration</x:v>
      </x:c>
      <x:c r="B4" s="36" t="n">
        <x:v>100</x:v>
      </x:c>
      <x:c r="C4" s="25" t="str">
        <x:v>s</x:v>
      </x:c>
      <x:c r="D4" s="25" t="str">
        <x:v>INPUT</x:v>
      </x:c>
    </x:row>
    <x:row r="5">
      <x:c r="A5" s="25" t="str">
        <x:v>Requests issued</x:v>
      </x:c>
      <x:c r="B5" s="36" t="n">
        <x:v>1000</x:v>
      </x:c>
      <x:c r="C5" s="25" t="str">
        <x:v>requests</x:v>
      </x:c>
      <x:c r="D5" s="25" t="str">
        <x:v>INPUT</x:v>
      </x:c>
    </x:row>
    <x:row r="6">
      <x:c r="A6" s="25" t="str">
        <x:v>Requests completed</x:v>
      </x:c>
      <x:c r="B6" s="36" t="n">
        <x:v>1000</x:v>
      </x:c>
      <x:c r="C6" s="25" t="str">
        <x:v>requests</x:v>
      </x:c>
      <x:c r="D6" s="25" t="str">
        <x:v>INPUT</x:v>
      </x:c>
    </x:row>
    <x:row r="7">
      <x:c r="A7" s="25" t="str">
        <x:v>Requests failed</x:v>
      </x:c>
      <x:c r="B7" s="36" t="n">
        <x:v>0</x:v>
      </x:c>
      <x:c r="C7" s="25" t="str">
        <x:v>requests</x:v>
      </x:c>
      <x:c r="D7" s="25" t="str">
        <x:v>INPUT</x:v>
      </x:c>
    </x:row>
    <x:row r="8">
      <x:c r="A8" s="25" t="str">
        <x:v>Input tokens</x:v>
      </x:c>
      <x:c r="B8" s="36" t="n">
        <x:v>512000</x:v>
      </x:c>
      <x:c r="C8" s="25" t="str">
        <x:v>tokens</x:v>
      </x:c>
      <x:c r="D8" s="25" t="str">
        <x:v>INPUT</x:v>
      </x:c>
    </x:row>
    <x:row r="9">
      <x:c r="A9" s="25" t="str">
        <x:v>Output tokens</x:v>
      </x:c>
      <x:c r="B9" s="36" t="n">
        <x:v>100000</x:v>
      </x:c>
      <x:c r="C9" s="25" t="str">
        <x:v>tokens</x:v>
      </x:c>
      <x:c r="D9" s="25" t="str">
        <x:v>INPUT</x:v>
      </x:c>
    </x:row>
    <x:row r="10">
      <x:c r="A10" s="25" t="str">
        <x:v>GPU count</x:v>
      </x:c>
      <x:c r="B10" s="36" t="n">
        <x:v>4</x:v>
      </x:c>
      <x:c r="C10" s="25" t="str">
        <x:v>GPUs</x:v>
      </x:c>
      <x:c r="D10" s="25" t="str">
        <x:v>INPUT</x:v>
      </x:c>
    </x:row>
    <x:row r="11">
      <x:c r="A11" s="25" t="str">
        <x:v>SLO-compliant requests</x:v>
      </x:c>
      <x:c r="B11" s="36" t="n">
        <x:v>900</x:v>
      </x:c>
      <x:c r="C11" s="25" t="str">
        <x:v>requests</x:v>
      </x:c>
      <x:c r="D11" s="25" t="str">
        <x:v>INPUT</x:v>
      </x:c>
    </x:row>
    <x:row r="12">
      <x:c r="A12" s="25" t="str">
        <x:v>p50 TTFT</x:v>
      </x:c>
      <x:c r="B12" s="36" t="n">
        <x:v>300</x:v>
      </x:c>
      <x:c r="C12" s="25" t="str">
        <x:v>ms</x:v>
      </x:c>
      <x:c r="D12" s="25" t="str">
        <x:v>INPUT</x:v>
      </x:c>
    </x:row>
    <x:row r="13">
      <x:c r="A13" s="25" t="str">
        <x:v>p95 TTFT</x:v>
      </x:c>
      <x:c r="B13" s="36" t="n">
        <x:v>420</x:v>
      </x:c>
      <x:c r="C13" s="25" t="str">
        <x:v>ms</x:v>
      </x:c>
      <x:c r="D13" s="25" t="str">
        <x:v>INPUT</x:v>
      </x:c>
    </x:row>
    <x:row r="14">
      <x:c r="A14" s="25" t="str">
        <x:v>p99 TTFT</x:v>
      </x:c>
      <x:c r="B14" s="36" t="n">
        <x:v>490</x:v>
      </x:c>
      <x:c r="C14" s="25" t="str">
        <x:v>ms</x:v>
      </x:c>
      <x:c r="D14" s="25" t="str">
        <x:v>INPUT</x:v>
      </x:c>
    </x:row>
    <x:row r="15">
      <x:c r="A15" s="25" t="str">
        <x:v>p50 TPOT</x:v>
      </x:c>
      <x:c r="B15" s="36" t="n">
        <x:v>30</x:v>
      </x:c>
      <x:c r="C15" s="25" t="str">
        <x:v>ms/token</x:v>
      </x:c>
      <x:c r="D15" s="25" t="str">
        <x:v>INPUT</x:v>
      </x:c>
    </x:row>
    <x:row r="16">
      <x:c r="A16" s="25" t="str">
        <x:v>p95 TPOT</x:v>
      </x:c>
      <x:c r="B16" s="36" t="n">
        <x:v>38</x:v>
      </x:c>
      <x:c r="C16" s="25" t="str">
        <x:v>ms/token</x:v>
      </x:c>
      <x:c r="D16" s="25" t="str">
        <x:v>INPUT</x:v>
      </x:c>
    </x:row>
    <x:row r="17">
      <x:c r="A17" s="25" t="str">
        <x:v>p99 TPOT</x:v>
      </x:c>
      <x:c r="B17" s="36" t="n">
        <x:v>48</x:v>
      </x:c>
      <x:c r="C17" s="25" t="str">
        <x:v>ms/token</x:v>
      </x:c>
      <x:c r="D17" s="25" t="str">
        <x:v>INPUT</x:v>
      </x:c>
    </x:row>
    <x:row r="18">
      <x:c r="A18" s="25" t="str">
        <x:v>p50 ITL</x:v>
      </x:c>
      <x:c r="B18" s="36" t="n">
        <x:v>30</x:v>
      </x:c>
      <x:c r="C18" s="25" t="str">
        <x:v>ms/token</x:v>
      </x:c>
      <x:c r="D18" s="25" t="str">
        <x:v>INPUT</x:v>
      </x:c>
    </x:row>
    <x:row r="19">
      <x:c r="A19" s="25" t="str">
        <x:v>p95 ITL</x:v>
      </x:c>
      <x:c r="B19" s="36" t="n">
        <x:v>38</x:v>
      </x:c>
      <x:c r="C19" s="25" t="str">
        <x:v>ms/token</x:v>
      </x:c>
      <x:c r="D19" s="25" t="str">
        <x:v>INPUT</x:v>
      </x:c>
    </x:row>
    <x:row r="20">
      <x:c r="A20" s="25" t="str">
        <x:v>p99 ITL</x:v>
      </x:c>
      <x:c r="B20" s="36" t="n">
        <x:v>48</x:v>
      </x:c>
      <x:c r="C20" s="25" t="str">
        <x:v>ms/token</x:v>
      </x:c>
      <x:c r="D20" s="25" t="str">
        <x:v>INPUT</x:v>
      </x:c>
    </x:row>
    <x:row r="21">
      <x:c r="A21" s="25" t="str">
        <x:v>p50 E2E</x:v>
      </x:c>
      <x:c r="B21" s="36" t="n">
        <x:v>3300</x:v>
      </x:c>
      <x:c r="C21" s="25" t="str">
        <x:v>ms</x:v>
      </x:c>
      <x:c r="D21" s="25" t="str">
        <x:v>INPUT</x:v>
      </x:c>
    </x:row>
    <x:row r="22">
      <x:c r="A22" s="25" t="str">
        <x:v>p95 E2E</x:v>
      </x:c>
      <x:c r="B22" s="36" t="n">
        <x:v>4100</x:v>
      </x:c>
      <x:c r="C22" s="25" t="str">
        <x:v>ms</x:v>
      </x:c>
      <x:c r="D22" s="25" t="str">
        <x:v>INPUT</x:v>
      </x:c>
    </x:row>
    <x:row r="23">
      <x:c r="A23" s="25" t="str">
        <x:v>p99 E2E</x:v>
      </x:c>
      <x:c r="B23" s="36" t="n">
        <x:v>4500</x:v>
      </x:c>
      <x:c r="C23" s="25" t="str">
        <x:v>ms</x:v>
      </x:c>
      <x:c r="D23" s="25" t="str">
        <x:v>INPUT</x:v>
      </x:c>
    </x:row>
    <x:row r="24">
      <x:c r="A24" s="25" t="str">
        <x:v>SLO TTFT</x:v>
      </x:c>
      <x:c r="B24" s="36" t="n">
        <x:v>500</x:v>
      </x:c>
      <x:c r="C24" s="25" t="str">
        <x:v>ms</x:v>
      </x:c>
      <x:c r="D24" s="25" t="str">
        <x:v>INPUT</x:v>
      </x:c>
    </x:row>
    <x:row r="25">
      <x:c r="A25" s="25" t="str">
        <x:v>SLO TPOT</x:v>
      </x:c>
      <x:c r="B25" s="36" t="n">
        <x:v>50</x:v>
      </x:c>
      <x:c r="C25" s="25" t="str">
        <x:v>ms/token</x:v>
      </x:c>
      <x:c r="D25" s="25" t="str">
        <x:v>INPUT</x:v>
      </x:c>
    </x:row>
    <x:row r="26">
      <x:c r="A26" s="25" t="str">
        <x:v>SLO E2E</x:v>
      </x:c>
      <x:c r="B26" s="36" t="n">
        <x:v>5000</x:v>
      </x:c>
      <x:c r="C26" s="25" t="str">
        <x:v>ms</x:v>
      </x:c>
      <x:c r="D26" s="25" t="str">
        <x:v>INPUT</x:v>
      </x:c>
    </x:row>
    <x:row r="27">
      <x:c r="A27" s="25"/>
      <x:c r="B27" s="25"/>
      <x:c r="C27" s="25"/>
      <x:c r="D27" s="25"/>
    </x:row>
    <x:row r="28">
      <x:c r="A28" s="25"/>
      <x:c r="B28" s="25"/>
      <x:c r="C28" s="25"/>
      <x:c r="D28" s="25"/>
    </x:row>
    <x:row r="29">
      <x:c r="A29" s="26" t="str">
        <x:v>Derived metric</x:v>
      </x:c>
      <x:c r="B29" s="26" t="str">
        <x:v>Value</x:v>
      </x:c>
      <x:c r="C29" s="26" t="str">
        <x:v>Unit</x:v>
      </x:c>
      <x:c r="D29" s="26" t="str">
        <x:v>Formula / state</x:v>
      </x:c>
    </x:row>
    <x:row r="30">
      <x:c r="A30" s="25" t="str">
        <x:v>Input validation</x:v>
      </x:c>
      <x:c r="B30" s="37" t="str">
        <x:f>IF(OR(B4&lt;=0,B10&lt;=0,B5&lt;0,B6&lt;0,B7&lt;0,B8&lt;0,B9&lt;0,B6&gt;B5,B7&gt;B5,B11&lt;0,B11&gt;B6),"INVALID INPUT","PASS")</x:f>
        <x:v>PASS</x:v>
      </x:c>
      <x:c r="C30" s="25" t="str"/>
      <x:c r="D30" s="25" t="str"/>
    </x:row>
    <x:row r="31">
      <x:c r="A31" s="25" t="str">
        <x:v>Request throughput</x:v>
      </x:c>
      <x:c r="B31" s="37" t="n">
        <x:f>IF(B30="PASS",B6/B4,0)</x:f>
        <x:v>10</x:v>
      </x:c>
      <x:c r="C31" s="25" t="str">
        <x:v>requests/s</x:v>
      </x:c>
      <x:c r="D31" s="25" t="str">
        <x:v>completed / duration</x:v>
      </x:c>
    </x:row>
    <x:row r="32">
      <x:c r="A32" s="25" t="str">
        <x:v>Input token throughput</x:v>
      </x:c>
      <x:c r="B32" s="37" t="n">
        <x:f>IF(B30="PASS",B8/B4,0)</x:f>
        <x:v>5120</x:v>
      </x:c>
      <x:c r="C32" s="25" t="str">
        <x:v>tokens/s</x:v>
      </x:c>
      <x:c r="D32" s="25" t="str">
        <x:v>input tokens / duration</x:v>
      </x:c>
    </x:row>
    <x:row r="33">
      <x:c r="A33" s="25" t="str">
        <x:v>Output token throughput</x:v>
      </x:c>
      <x:c r="B33" s="37" t="n">
        <x:f>IF(B30="PASS",B9/B4,0)</x:f>
        <x:v>1000</x:v>
      </x:c>
      <x:c r="C33" s="25" t="str">
        <x:v>tokens/s</x:v>
      </x:c>
      <x:c r="D33" s="25" t="str">
        <x:v>output tokens / duration</x:v>
      </x:c>
    </x:row>
    <x:row r="34">
      <x:c r="A34" s="25" t="str">
        <x:v>Total token throughput</x:v>
      </x:c>
      <x:c r="B34" s="37" t="n">
        <x:f>IF(B30="PASS",(B8+B9)/B4,0)</x:f>
        <x:v>6120</x:v>
      </x:c>
      <x:c r="C34" s="25" t="str">
        <x:v>tokens/s</x:v>
      </x:c>
      <x:c r="D34" s="25" t="str">
        <x:v>(input+output) / duration</x:v>
      </x:c>
    </x:row>
    <x:row r="35">
      <x:c r="A35" s="25" t="str">
        <x:v>Output tokens/s/GPU</x:v>
      </x:c>
      <x:c r="B35" s="37" t="n">
        <x:f>IF(AND(B30="PASS",B10&gt;0),B33/B10,0)</x:f>
        <x:v>250</x:v>
      </x:c>
      <x:c r="C35" s="25" t="str">
        <x:v>tokens/s/GPU</x:v>
      </x:c>
      <x:c r="D35" s="25" t="str">
        <x:v>output TPS / GPU count</x:v>
      </x:c>
    </x:row>
    <x:row r="36">
      <x:c r="A36" s="25" t="str">
        <x:v>Mean OSL from totals</x:v>
      </x:c>
      <x:c r="B36" s="37" t="n">
        <x:f>IF(AND(B30="PASS",B6&gt;0),B9/B6,0)</x:f>
        <x:v>100</x:v>
      </x:c>
      <x:c r="C36" s="25" t="str">
        <x:v>tokens/request</x:v>
      </x:c>
      <x:c r="D36" s="25" t="str">
        <x:v>output tokens / completed requests</x:v>
      </x:c>
    </x:row>
    <x:row r="37">
      <x:c r="A37" s="25" t="str">
        <x:v>Derived request throughput from output TPS</x:v>
      </x:c>
      <x:c r="B37" s="37" t="n">
        <x:f>IF(AND(B30="PASS",B36&gt;0),B33/B36,0)</x:f>
        <x:v>10</x:v>
      </x:c>
      <x:c r="C37" s="25" t="str">
        <x:v>requests/s</x:v>
      </x:c>
      <x:c r="D37" s="25" t="str">
        <x:v>output TPS / mean OSL</x:v>
      </x:c>
    </x:row>
    <x:row r="38">
      <x:c r="A38" s="25" t="str">
        <x:v>SLO request goodput</x:v>
      </x:c>
      <x:c r="B38" s="37" t="n">
        <x:f>IF(B30="PASS",B11/B4,0)</x:f>
        <x:v>9</x:v>
      </x:c>
      <x:c r="C38" s="25" t="str">
        <x:v>good requests/s</x:v>
      </x:c>
      <x:c r="D38" s="25" t="str">
        <x:v>SLO-compliant / duration</x:v>
      </x:c>
    </x:row>
    <x:row r="39">
      <x:c r="A39" s="25" t="str">
        <x:v>SLO goodput/GPU</x:v>
      </x:c>
      <x:c r="B39" s="37" t="n">
        <x:f>IF(AND(B30="PASS",B10&gt;0),B38/B10,0)</x:f>
        <x:v>2.25</x:v>
      </x:c>
      <x:c r="C39" s="25" t="str">
        <x:v>good requests/s/GPU</x:v>
      </x:c>
      <x:c r="D39" s="25" t="str">
        <x:v>goodput / GPU count</x:v>
      </x:c>
    </x:row>
    <x:row r="40">
      <x:c r="A40" s="25" t="str">
        <x:v>Failure rate</x:v>
      </x:c>
      <x:c r="B40" s="42" t="n">
        <x:f>IF(B5&gt;0,B7/B5,0)</x:f>
        <x:v>0</x:v>
      </x:c>
      <x:c r="C40" s="25" t="str">
        <x:v>ratio</x:v>
      </x:c>
      <x:c r="D40" s="25" t="str">
        <x:v>failed / issued</x:v>
      </x:c>
    </x:row>
    <x:row r="41">
      <x:c r="A41" s="25"/>
      <x:c r="B41" s="25"/>
      <x:c r="C41" s="25"/>
      <x:c r="D41" s="25"/>
    </x:row>
    <x:row r="42">
      <x:c r="A42" s="25"/>
      <x:c r="B42" s="25"/>
      <x:c r="C42" s="25"/>
      <x:c r="D42" s="2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0" hidden="0" customWidth="1"/>
    <x:col min="4" max="4" width="46" hidden="0" customWidth="1"/>
  </x:cols>
  <x:sheetData>
    <x:row r="1">
      <x:c r="A1" s="26" t="str">
        <x:v>Raw / derived field</x:v>
      </x:c>
      <x:c r="B1" s="26" t="str">
        <x:v>Value</x:v>
      </x:c>
      <x:c r="C1" s="26" t="str">
        <x:v>Unit</x:v>
      </x:c>
      <x:c r="D1" s="26" t="str">
        <x:v>State / note</x:v>
      </x:c>
    </x:row>
    <x:row r="2">
      <x:c r="A2" s="25" t="str">
        <x:v>Metric label</x:v>
      </x:c>
      <x:c r="B2" s="36" t="str">
        <x:v>Output token throughput</x:v>
      </x:c>
      <x:c r="C2" s="25" t="str"/>
      <x:c r="D2" s="25" t="str">
        <x:v>INPUT</x:v>
      </x:c>
    </x:row>
    <x:row r="3">
      <x:c r="A3" s="25" t="str">
        <x:v>Metric semantic ID</x:v>
      </x:c>
      <x:c r="B3" s="36" t="str">
        <x:v>OUTPUT_TOKENS/WALL_SECOND/AGGREGATE/COMPLETED_REQUESTS</x:v>
      </x:c>
      <x:c r="C3" s="25" t="str"/>
      <x:c r="D3" s="25" t="str">
        <x:v>INPUT</x:v>
      </x:c>
    </x:row>
    <x:row r="4">
      <x:c r="A4" s="25" t="str">
        <x:v>Duration</x:v>
      </x:c>
      <x:c r="B4" s="36" t="n">
        <x:v>100</x:v>
      </x:c>
      <x:c r="C4" s="25" t="str">
        <x:v>s</x:v>
      </x:c>
      <x:c r="D4" s="25" t="str">
        <x:v>INPUT</x:v>
      </x:c>
    </x:row>
    <x:row r="5">
      <x:c r="A5" s="25" t="str">
        <x:v>Requests issued</x:v>
      </x:c>
      <x:c r="B5" s="36" t="n">
        <x:v>1000</x:v>
      </x:c>
      <x:c r="C5" s="25" t="str">
        <x:v>requests</x:v>
      </x:c>
      <x:c r="D5" s="25" t="str">
        <x:v>INPUT</x:v>
      </x:c>
    </x:row>
    <x:row r="6">
      <x:c r="A6" s="25" t="str">
        <x:v>Requests completed</x:v>
      </x:c>
      <x:c r="B6" s="36" t="n">
        <x:v>1000</x:v>
      </x:c>
      <x:c r="C6" s="25" t="str">
        <x:v>requests</x:v>
      </x:c>
      <x:c r="D6" s="25" t="str">
        <x:v>INPUT</x:v>
      </x:c>
    </x:row>
    <x:row r="7">
      <x:c r="A7" s="25" t="str">
        <x:v>Requests failed</x:v>
      </x:c>
      <x:c r="B7" s="36" t="n">
        <x:v>0</x:v>
      </x:c>
      <x:c r="C7" s="25" t="str">
        <x:v>requests</x:v>
      </x:c>
      <x:c r="D7" s="25" t="str">
        <x:v>INPUT</x:v>
      </x:c>
    </x:row>
    <x:row r="8">
      <x:c r="A8" s="25" t="str">
        <x:v>Input tokens</x:v>
      </x:c>
      <x:c r="B8" s="36" t="n">
        <x:v>512000</x:v>
      </x:c>
      <x:c r="C8" s="25" t="str">
        <x:v>tokens</x:v>
      </x:c>
      <x:c r="D8" s="25" t="str">
        <x:v>INPUT</x:v>
      </x:c>
    </x:row>
    <x:row r="9">
      <x:c r="A9" s="25" t="str">
        <x:v>Output tokens</x:v>
      </x:c>
      <x:c r="B9" s="36" t="n">
        <x:v>100000</x:v>
      </x:c>
      <x:c r="C9" s="25" t="str">
        <x:v>tokens</x:v>
      </x:c>
      <x:c r="D9" s="25" t="str">
        <x:v>INPUT</x:v>
      </x:c>
    </x:row>
    <x:row r="10">
      <x:c r="A10" s="25" t="str">
        <x:v>GPU count</x:v>
      </x:c>
      <x:c r="B10" s="36" t="n">
        <x:v>4</x:v>
      </x:c>
      <x:c r="C10" s="25" t="str">
        <x:v>GPUs</x:v>
      </x:c>
      <x:c r="D10" s="25" t="str">
        <x:v>INPUT</x:v>
      </x:c>
    </x:row>
    <x:row r="11">
      <x:c r="A11" s="25" t="str">
        <x:v>SLO-compliant requests</x:v>
      </x:c>
      <x:c r="B11" s="36" t="n">
        <x:v>500</x:v>
      </x:c>
      <x:c r="C11" s="25" t="str">
        <x:v>requests</x:v>
      </x:c>
      <x:c r="D11" s="25" t="str">
        <x:v>INPUT</x:v>
      </x:c>
    </x:row>
    <x:row r="12">
      <x:c r="A12" s="25" t="str">
        <x:v>p50 TTFT</x:v>
      </x:c>
      <x:c r="B12" s="36" t="n">
        <x:v>280</x:v>
      </x:c>
      <x:c r="C12" s="25" t="str">
        <x:v>ms</x:v>
      </x:c>
      <x:c r="D12" s="25" t="str">
        <x:v>INPUT</x:v>
      </x:c>
    </x:row>
    <x:row r="13">
      <x:c r="A13" s="25" t="str">
        <x:v>p95 TTFT</x:v>
      </x:c>
      <x:c r="B13" s="36" t="n">
        <x:v>900</x:v>
      </x:c>
      <x:c r="C13" s="25" t="str">
        <x:v>ms</x:v>
      </x:c>
      <x:c r="D13" s="25" t="str">
        <x:v>INPUT</x:v>
      </x:c>
    </x:row>
    <x:row r="14">
      <x:c r="A14" s="25" t="str">
        <x:v>p99 TTFT</x:v>
      </x:c>
      <x:c r="B14" s="36" t="n">
        <x:v>1200</x:v>
      </x:c>
      <x:c r="C14" s="25" t="str">
        <x:v>ms</x:v>
      </x:c>
      <x:c r="D14" s="25" t="str">
        <x:v>INPUT</x:v>
      </x:c>
    </x:row>
    <x:row r="15">
      <x:c r="A15" s="25" t="str">
        <x:v>p50 TPOT</x:v>
      </x:c>
      <x:c r="B15" s="36" t="n">
        <x:v>28</x:v>
      </x:c>
      <x:c r="C15" s="25" t="str">
        <x:v>ms/token</x:v>
      </x:c>
      <x:c r="D15" s="25" t="str">
        <x:v>INPUT</x:v>
      </x:c>
    </x:row>
    <x:row r="16">
      <x:c r="A16" s="25" t="str">
        <x:v>p95 TPOT</x:v>
      </x:c>
      <x:c r="B16" s="36" t="n">
        <x:v>82</x:v>
      </x:c>
      <x:c r="C16" s="25" t="str">
        <x:v>ms/token</x:v>
      </x:c>
      <x:c r="D16" s="25" t="str">
        <x:v>INPUT</x:v>
      </x:c>
    </x:row>
    <x:row r="17">
      <x:c r="A17" s="25" t="str">
        <x:v>p99 TPOT</x:v>
      </x:c>
      <x:c r="B17" s="36" t="n">
        <x:v>105</x:v>
      </x:c>
      <x:c r="C17" s="25" t="str">
        <x:v>ms/token</x:v>
      </x:c>
      <x:c r="D17" s="25" t="str">
        <x:v>INPUT</x:v>
      </x:c>
    </x:row>
    <x:row r="18">
      <x:c r="A18" s="25" t="str">
        <x:v>p50 ITL</x:v>
      </x:c>
      <x:c r="B18" s="36" t="n">
        <x:v>28</x:v>
      </x:c>
      <x:c r="C18" s="25" t="str">
        <x:v>ms/token</x:v>
      </x:c>
      <x:c r="D18" s="25" t="str">
        <x:v>INPUT</x:v>
      </x:c>
    </x:row>
    <x:row r="19">
      <x:c r="A19" s="25" t="str">
        <x:v>p95 ITL</x:v>
      </x:c>
      <x:c r="B19" s="36" t="n">
        <x:v>35</x:v>
      </x:c>
      <x:c r="C19" s="25" t="str">
        <x:v>ms/token</x:v>
      </x:c>
      <x:c r="D19" s="25" t="str">
        <x:v>INPUT</x:v>
      </x:c>
    </x:row>
    <x:row r="20">
      <x:c r="A20" s="25" t="str">
        <x:v>p99 ITL</x:v>
      </x:c>
      <x:c r="B20" s="36" t="n">
        <x:v>45</x:v>
      </x:c>
      <x:c r="C20" s="25" t="str">
        <x:v>ms/token</x:v>
      </x:c>
      <x:c r="D20" s="25" t="str">
        <x:v>INPUT</x:v>
      </x:c>
    </x:row>
    <x:row r="21">
      <x:c r="A21" s="25" t="str">
        <x:v>p50 E2E</x:v>
      </x:c>
      <x:c r="B21" s="36" t="n">
        <x:v>3100</x:v>
      </x:c>
      <x:c r="C21" s="25" t="str">
        <x:v>ms</x:v>
      </x:c>
      <x:c r="D21" s="25" t="str">
        <x:v>INPUT</x:v>
      </x:c>
    </x:row>
    <x:row r="22">
      <x:c r="A22" s="25" t="str">
        <x:v>p95 E2E</x:v>
      </x:c>
      <x:c r="B22" s="36" t="n">
        <x:v>3900</x:v>
      </x:c>
      <x:c r="C22" s="25" t="str">
        <x:v>ms</x:v>
      </x:c>
      <x:c r="D22" s="25" t="str">
        <x:v>INPUT</x:v>
      </x:c>
    </x:row>
    <x:row r="23">
      <x:c r="A23" s="25" t="str">
        <x:v>p99 E2E</x:v>
      </x:c>
      <x:c r="B23" s="36" t="n">
        <x:v>4300</x:v>
      </x:c>
      <x:c r="C23" s="25" t="str">
        <x:v>ms</x:v>
      </x:c>
      <x:c r="D23" s="25" t="str">
        <x:v>INPUT</x:v>
      </x:c>
    </x:row>
    <x:row r="24">
      <x:c r="A24" s="25" t="str">
        <x:v>SLO TTFT</x:v>
      </x:c>
      <x:c r="B24" s="36" t="n">
        <x:v>500</x:v>
      </x:c>
      <x:c r="C24" s="25" t="str">
        <x:v>ms</x:v>
      </x:c>
      <x:c r="D24" s="25" t="str">
        <x:v>INPUT</x:v>
      </x:c>
    </x:row>
    <x:row r="25">
      <x:c r="A25" s="25" t="str">
        <x:v>SLO TPOT</x:v>
      </x:c>
      <x:c r="B25" s="36" t="n">
        <x:v>50</x:v>
      </x:c>
      <x:c r="C25" s="25" t="str">
        <x:v>ms/token</x:v>
      </x:c>
      <x:c r="D25" s="25" t="str">
        <x:v>INPUT</x:v>
      </x:c>
    </x:row>
    <x:row r="26">
      <x:c r="A26" s="25" t="str">
        <x:v>SLO E2E</x:v>
      </x:c>
      <x:c r="B26" s="36" t="n">
        <x:v>5000</x:v>
      </x:c>
      <x:c r="C26" s="25" t="str">
        <x:v>ms</x:v>
      </x:c>
      <x:c r="D26" s="25" t="str">
        <x:v>INPUT</x:v>
      </x:c>
    </x:row>
    <x:row r="27">
      <x:c r="A27" s="25"/>
      <x:c r="B27" s="25"/>
      <x:c r="C27" s="25"/>
      <x:c r="D27" s="25"/>
    </x:row>
    <x:row r="28">
      <x:c r="A28" s="25"/>
      <x:c r="B28" s="25"/>
      <x:c r="C28" s="25"/>
      <x:c r="D28" s="25"/>
    </x:row>
    <x:row r="29">
      <x:c r="A29" s="26" t="str">
        <x:v>Derived metric</x:v>
      </x:c>
      <x:c r="B29" s="26" t="str">
        <x:v>Value</x:v>
      </x:c>
      <x:c r="C29" s="26" t="str">
        <x:v>Unit</x:v>
      </x:c>
      <x:c r="D29" s="26" t="str">
        <x:v>Formula / state</x:v>
      </x:c>
    </x:row>
    <x:row r="30">
      <x:c r="A30" s="25" t="str">
        <x:v>Input validation</x:v>
      </x:c>
      <x:c r="B30" s="37" t="str">
        <x:f>IF(OR(B4&lt;=0,B10&lt;=0,B5&lt;0,B6&lt;0,B7&lt;0,B8&lt;0,B9&lt;0,B6&gt;B5,B7&gt;B5,B11&lt;0,B11&gt;B6),"INVALID INPUT","PASS")</x:f>
        <x:v>PASS</x:v>
      </x:c>
      <x:c r="C30" s="25" t="str"/>
      <x:c r="D30" s="25" t="str"/>
    </x:row>
    <x:row r="31">
      <x:c r="A31" s="25" t="str">
        <x:v>Request throughput</x:v>
      </x:c>
      <x:c r="B31" s="37" t="n">
        <x:f>IF(B30="PASS",B6/B4,0)</x:f>
        <x:v>10</x:v>
      </x:c>
      <x:c r="C31" s="25" t="str">
        <x:v>requests/s</x:v>
      </x:c>
      <x:c r="D31" s="25" t="str">
        <x:v>completed / duration</x:v>
      </x:c>
    </x:row>
    <x:row r="32">
      <x:c r="A32" s="25" t="str">
        <x:v>Input token throughput</x:v>
      </x:c>
      <x:c r="B32" s="37" t="n">
        <x:f>IF(B30="PASS",B8/B4,0)</x:f>
        <x:v>5120</x:v>
      </x:c>
      <x:c r="C32" s="25" t="str">
        <x:v>tokens/s</x:v>
      </x:c>
      <x:c r="D32" s="25" t="str">
        <x:v>input tokens / duration</x:v>
      </x:c>
    </x:row>
    <x:row r="33">
      <x:c r="A33" s="25" t="str">
        <x:v>Output token throughput</x:v>
      </x:c>
      <x:c r="B33" s="37" t="n">
        <x:f>IF(B30="PASS",B9/B4,0)</x:f>
        <x:v>1000</x:v>
      </x:c>
      <x:c r="C33" s="25" t="str">
        <x:v>tokens/s</x:v>
      </x:c>
      <x:c r="D33" s="25" t="str">
        <x:v>output tokens / duration</x:v>
      </x:c>
    </x:row>
    <x:row r="34">
      <x:c r="A34" s="25" t="str">
        <x:v>Total token throughput</x:v>
      </x:c>
      <x:c r="B34" s="37" t="n">
        <x:f>IF(B30="PASS",(B8+B9)/B4,0)</x:f>
        <x:v>6120</x:v>
      </x:c>
      <x:c r="C34" s="25" t="str">
        <x:v>tokens/s</x:v>
      </x:c>
      <x:c r="D34" s="25" t="str">
        <x:v>(input+output) / duration</x:v>
      </x:c>
    </x:row>
    <x:row r="35">
      <x:c r="A35" s="25" t="str">
        <x:v>Output tokens/s/GPU</x:v>
      </x:c>
      <x:c r="B35" s="37" t="n">
        <x:f>IF(AND(B30="PASS",B10&gt;0),B33/B10,0)</x:f>
        <x:v>250</x:v>
      </x:c>
      <x:c r="C35" s="25" t="str">
        <x:v>tokens/s/GPU</x:v>
      </x:c>
      <x:c r="D35" s="25" t="str">
        <x:v>output TPS / GPU count</x:v>
      </x:c>
    </x:row>
    <x:row r="36">
      <x:c r="A36" s="25" t="str">
        <x:v>Mean OSL from totals</x:v>
      </x:c>
      <x:c r="B36" s="37" t="n">
        <x:f>IF(AND(B30="PASS",B6&gt;0),B9/B6,0)</x:f>
        <x:v>100</x:v>
      </x:c>
      <x:c r="C36" s="25" t="str">
        <x:v>tokens/request</x:v>
      </x:c>
      <x:c r="D36" s="25" t="str">
        <x:v>output tokens / completed requests</x:v>
      </x:c>
    </x:row>
    <x:row r="37">
      <x:c r="A37" s="25" t="str">
        <x:v>Derived request throughput from output TPS</x:v>
      </x:c>
      <x:c r="B37" s="37" t="n">
        <x:f>IF(AND(B30="PASS",B36&gt;0),B33/B36,0)</x:f>
        <x:v>10</x:v>
      </x:c>
      <x:c r="C37" s="25" t="str">
        <x:v>requests/s</x:v>
      </x:c>
      <x:c r="D37" s="25" t="str">
        <x:v>output TPS / mean OSL</x:v>
      </x:c>
    </x:row>
    <x:row r="38">
      <x:c r="A38" s="25" t="str">
        <x:v>SLO request goodput</x:v>
      </x:c>
      <x:c r="B38" s="37" t="n">
        <x:f>IF(B30="PASS",B11/B4,0)</x:f>
        <x:v>5</x:v>
      </x:c>
      <x:c r="C38" s="25" t="str">
        <x:v>good requests/s</x:v>
      </x:c>
      <x:c r="D38" s="25" t="str">
        <x:v>SLO-compliant / duration</x:v>
      </x:c>
    </x:row>
    <x:row r="39">
      <x:c r="A39" s="25" t="str">
        <x:v>SLO goodput/GPU</x:v>
      </x:c>
      <x:c r="B39" s="37" t="n">
        <x:f>IF(AND(B30="PASS",B10&gt;0),B38/B10,0)</x:f>
        <x:v>1.25</x:v>
      </x:c>
      <x:c r="C39" s="25" t="str">
        <x:v>good requests/s/GPU</x:v>
      </x:c>
      <x:c r="D39" s="25" t="str">
        <x:v>goodput / GPU count</x:v>
      </x:c>
    </x:row>
    <x:row r="40">
      <x:c r="A40" s="25" t="str">
        <x:v>Failure rate</x:v>
      </x:c>
      <x:c r="B40" s="42" t="n">
        <x:f>IF(B5&gt;0,B7/B5,0)</x:f>
        <x:v>0</x:v>
      </x:c>
      <x:c r="C40" s="25" t="str">
        <x:v>ratio</x:v>
      </x:c>
      <x:c r="D40" s="25" t="str">
        <x:v>failed / issued</x:v>
      </x:c>
    </x:row>
    <x:row r="41">
      <x:c r="A41" s="25"/>
      <x:c r="B41" s="25"/>
      <x:c r="C41" s="25"/>
      <x:c r="D41" s="25"/>
    </x:row>
    <x:row r="42">
      <x:c r="A42" s="25"/>
      <x:c r="B42" s="25"/>
      <x:c r="C42" s="25"/>
      <x:c r="D42" s="2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28" hidden="0" customWidth="1"/>
    <x:col min="3" max="3" width="28" hidden="0" customWidth="1"/>
    <x:col min="4" max="4" width="70" hidden="0" customWidth="1"/>
  </x:cols>
  <x:sheetData>
    <x:row r="1">
      <x:c r="A1" s="26" t="str">
        <x:v>Check</x:v>
      </x:c>
      <x:c r="B1" s="26" t="str">
        <x:v>Result</x:v>
      </x:c>
      <x:c r="C1" s="26" t="str">
        <x:v>Blocking class</x:v>
      </x:c>
      <x:c r="D1" s="26" t="str">
        <x:v>Interpretation</x:v>
      </x:c>
    </x:row>
    <x:row r="2">
      <x:c r="A2" s="25" t="str">
        <x:v>Raw input validity</x:v>
      </x:c>
      <x:c r="B2" s="37" t="str">
        <x:f>IF(AND(RESULT_A!B30="PASS",RESULT_B!B30="PASS"),"PASS","FAIL")</x:f>
        <x:v>PASS</x:v>
      </x:c>
      <x:c r="C2" s="25" t="str">
        <x:v>INSUFFICIENT</x:v>
      </x:c>
      <x:c r="D2" s="25" t="str">
        <x:v>Both result sheets must pass validation.</x:v>
      </x:c>
    </x:row>
    <x:row r="3">
      <x:c r="A3" s="25" t="str">
        <x:v>Metric semantic ID match</x:v>
      </x:c>
      <x:c r="B3" s="37" t="str">
        <x:f>IF(OR(RESULT_A!B3="",RESULT_B!B3=""),"MISSING",IF(RESULT_A!B3=RESULT_B!B3,"MATCH","DIFFERENT"))</x:f>
        <x:v>MATCH</x:v>
      </x:c>
      <x:c r="C3" s="25" t="str">
        <x:v>NOT DIRECTLY COMPARABLE</x:v>
      </x:c>
      <x:c r="D3" s="25" t="str">
        <x:v>Labels are not enough; semantic IDs must match.</x:v>
      </x:c>
    </x:row>
    <x:row r="4">
      <x:c r="A4" s="25" t="str">
        <x:v>Metric label match</x:v>
      </x:c>
      <x:c r="B4" s="37" t="str">
        <x:f>IF(OR(RESULT_A!B2="",RESULT_B!B2=""),"MISSING",IF(RESULT_A!B2=RESULT_B!B2,"MATCH","DIFFERENT"))</x:f>
        <x:v>MATCH</x:v>
      </x:c>
      <x:c r="C4" s="25" t="str">
        <x:v>INFORMATIONAL</x:v>
      </x:c>
      <x:c r="D4" s="25" t="str">
        <x:v>Same label is useful but semantic ID is controlling.</x:v>
      </x:c>
    </x:row>
    <x:row r="5">
      <x:c r="A5" s="25" t="str">
        <x:v>Model/revision/precision/reasoning match</x:v>
      </x:c>
      <x:c r="B5" s="37" t="str">
        <x:f>IF(AND(SYSTEM!D2="MATCH",SYSTEM!D3="MATCH",SYSTEM!D4="MATCH",SYSTEM!D5="MATCH"),"MATCH","DIFFERENT / MISSING")</x:f>
        <x:v>MATCH</x:v>
      </x:c>
      <x:c r="C5" s="25" t="str">
        <x:v>NOT DIRECTLY COMPARABLE</x:v>
      </x:c>
      <x:c r="D5" s="25" t="str">
        <x:v>Benchmark identity must be compatible.</x:v>
      </x:c>
    </x:row>
    <x:row r="6">
      <x:c r="A6" s="25" t="str">
        <x:v>Runtime/version/parallelism match</x:v>
      </x:c>
      <x:c r="B6" s="37" t="str">
        <x:f>IF(AND(SYSTEM!D6="MATCH",SYSTEM!D7="MATCH",SYSTEM!D8="MATCH"),"MATCH","DIFFERENT / MISSING")</x:f>
        <x:v>MATCH</x:v>
      </x:c>
      <x:c r="C6" s="25" t="str">
        <x:v>DISCLOSURE</x:v>
      </x:c>
      <x:c r="D6" s="25" t="str">
        <x:v>Differences can be compared only if buyer explicitly accepts them.</x:v>
      </x:c>
    </x:row>
    <x:row r="7">
      <x:c r="A7" s="25" t="str">
        <x:v>Accelerator/host/interconnect match</x:v>
      </x:c>
      <x:c r="B7" s="37" t="str">
        <x:f>IF(AND(SYSTEM!D9="MATCH",SYSTEM!D10="MATCH",SYSTEM!D11="MATCH"),"MATCH","DIFFERENT / MISSING")</x:f>
        <x:v>MATCH</x:v>
      </x:c>
      <x:c r="C7" s="25" t="str">
        <x:v>DISCLOSURE</x:v>
      </x:c>
      <x:c r="D7" s="25" t="str">
        <x:v>System-size/config differences must be disclosed.</x:v>
      </x:c>
    </x:row>
    <x:row r="8">
      <x:c r="A8" s="25" t="str">
        <x:v>Quality status valid/match</x:v>
      </x:c>
      <x:c r="B8" s="37" t="str">
        <x:f>IF(AND(SYSTEM!B12="PASS",SYSTEM!C12="PASS",SYSTEM!D12="MATCH"),"PASS","FAIL / MISSING")</x:f>
        <x:v>PASS</x:v>
      </x:c>
      <x:c r="C8" s="25" t="str">
        <x:v>NOT DIRECTLY COMPARABLE</x:v>
      </x:c>
      <x:c r="D8" s="25" t="str">
        <x:v>Fast but lower-quality output is not equivalent.</x:v>
      </x:c>
    </x:row>
    <x:row r="9">
      <x:c r="A9" s="25" t="str">
        <x:v>Workload identity / sampling match</x:v>
      </x:c>
      <x:c r="B9" s="37" t="str">
        <x:f>IF(AND(WORKLOAD!D8="MATCH",WORKLOAD!D9="MATCH"),"MATCH","DIFFERENT / MISSING")</x:f>
        <x:v>MATCH</x:v>
      </x:c>
      <x:c r="C9" s="25" t="str">
        <x:v>NOT DIRECTLY COMPARABLE</x:v>
      </x:c>
      <x:c r="D9" s="25" t="str">
        <x:v>Do not auto-normalize different workload/output rules.</x:v>
      </x:c>
    </x:row>
    <x:row r="10">
      <x:c r="A10" s="25" t="str">
        <x:v>Mean OSL present</x:v>
      </x:c>
      <x:c r="B10" s="37" t="str">
        <x:f>IF(AND(WORKLOAD!B5&gt;0,WORKLOAD!C5&gt;0),"PASS","MISSING")</x:f>
        <x:v>PASS</x:v>
      </x:c>
      <x:c r="C10" s="25" t="str">
        <x:v>INSUFFICIENT</x:v>
      </x:c>
      <x:c r="D10" s="25" t="str">
        <x:v>Needed for output-TPS → req/s cross-check.</x:v>
      </x:c>
    </x:row>
    <x:row r="11">
      <x:c r="A11" s="25" t="str">
        <x:v>Benchmark mode match</x:v>
      </x:c>
      <x:c r="B11" s="37" t="str">
        <x:f>IF(LOAD!D2="MATCH","MATCH","DIFFERENT / MISSING")</x:f>
        <x:v>MATCH</x:v>
      </x:c>
      <x:c r="C11" s="25" t="str">
        <x:v>NOT DIRECTLY COMPARABLE</x:v>
      </x:c>
      <x:c r="D11" s="25" t="str">
        <x:v>SERVING and OFFLINE are different operating regimes.</x:v>
      </x:c>
    </x:row>
    <x:row r="12">
      <x:c r="A12" s="25" t="str">
        <x:v>Load disclosed and compatible</x:v>
      </x:c>
      <x:c r="B12" s="37" t="str">
        <x:f>IF(AND(LOAD!B2="SERVING",LOAD!C2="SERVING"),IF(AND(LOAD!B4&lt;&gt;"",LOAD!C4&lt;&gt;"",LOAD!B5&lt;&gt;"",LOAD!C5&lt;&gt;""),"PASS","MISSING"),"N/A OR DIFFERENT")</x:f>
        <x:v>PASS</x:v>
      </x:c>
      <x:c r="C12" s="25" t="str">
        <x:v>INSUFFICIENT</x:v>
      </x:c>
      <x:c r="D12" s="25" t="str">
        <x:v>Serving comparisons need offered rate/concurrency operating point.</x:v>
      </x:c>
    </x:row>
    <x:row r="13">
      <x:c r="A13" s="25" t="str">
        <x:v>SLO thresholds disclosed and compatible</x:v>
      </x:c>
      <x:c r="B13" s="37" t="str">
        <x:f>IF(AND(RESULT_A!B24&lt;&gt;"",RESULT_B!B24&lt;&gt;"",RESULT_A!B25&lt;&gt;"",RESULT_B!B25&lt;&gt;"",RESULT_A!B26&lt;&gt;"",RESULT_B!B26&lt;&gt;""),IF(AND(RESULT_A!B24=RESULT_B!B24,RESULT_A!B25=RESULT_B!B25,RESULT_A!B26=RESULT_B!B26),"MATCH","DIFFERENT"),"MISSING")</x:f>
        <x:v>MATCH</x:v>
      </x:c>
      <x:c r="C13" s="25" t="str">
        <x:v>INSUFFICIENT</x:v>
      </x:c>
      <x:c r="D13" s="25" t="str">
        <x:v>Required for goodput comparison.</x:v>
      </x:c>
    </x:row>
    <x:row r="14">
      <x:c r="A14" s="25" t="str">
        <x:v>Required latency percentiles present</x:v>
      </x:c>
      <x:c r="B14" s="37" t="str">
        <x:f>IF(AND(RESULT_A!B13&lt;&gt;"",RESULT_B!B13&lt;&gt;"",RESULT_A!B16&lt;&gt;"",RESULT_B!B16&lt;&gt;"",RESULT_A!B22&lt;&gt;"",RESULT_B!B22&lt;&gt;""),"PASS","MISSING")</x:f>
        <x:v>PASS</x:v>
      </x:c>
      <x:c r="C14" s="25" t="str">
        <x:v>INSUFFICIENT</x:v>
      </x:c>
      <x:c r="D14" s="25" t="str">
        <x:v>If SLO is defined, matching observed percentile data must exist.</x:v>
      </x:c>
    </x:row>
    <x:row r="15">
      <x:c r="A15" s="25"/>
      <x:c r="B15" s="25"/>
      <x:c r="C15" s="25"/>
      <x:c r="D15" s="25"/>
    </x:row>
    <x:row r="16">
      <x:c r="A16" s="25"/>
      <x:c r="B16" s="25"/>
      <x:c r="C16" s="25"/>
      <x:c r="D16" s="2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3" t="str">
        <x:v>Metric</x:v>
      </x:c>
      <x:c r="B1" s="13" t="str">
        <x:v>A threshold</x:v>
      </x:c>
      <x:c r="C1" s="13" t="str">
        <x:v>A observed</x:v>
      </x:c>
      <x:c r="D1" s="13" t="str">
        <x:v>B threshold</x:v>
      </x:c>
      <x:c r="E1" s="13" t="str">
        <x:v>B observed</x:v>
      </x:c>
      <x:c r="F1" s="13" t="str">
        <x:v>Compatibility</x:v>
      </x:c>
    </x:row>
    <x:row r="2">
      <x:c r="A2" t="str">
        <x:v>p95 TTFT</x:v>
      </x:c>
      <x:c r="B2" s="34" t="n">
        <x:f>RESULT_A!B24</x:f>
        <x:v>500</x:v>
      </x:c>
      <x:c r="C2" s="34" t="n">
        <x:f>RESULT_A!B13</x:f>
        <x:v>420</x:v>
      </x:c>
      <x:c r="D2" s="34" t="n">
        <x:f>RESULT_B!B24</x:f>
        <x:v>500</x:v>
      </x:c>
      <x:c r="E2" s="34" t="n">
        <x:f>RESULT_B!B13</x:f>
        <x:v>900</x:v>
      </x:c>
      <x:c r="F2" s="34" t="str">
        <x:f>IF(OR(B2="",C2="",D2="",E2=""),"MISSING",IF(B2=D2,"SAME SLO","DIFFERENT SLO"))</x:f>
        <x:v>SAME SLO</x:v>
      </x:c>
    </x:row>
    <x:row r="3">
      <x:c r="A3" t="str">
        <x:v>p95 TPOT</x:v>
      </x:c>
      <x:c r="B3" s="34" t="n">
        <x:f>RESULT_A!B25</x:f>
        <x:v>50</x:v>
      </x:c>
      <x:c r="C3" s="34" t="n">
        <x:f>RESULT_A!B16</x:f>
        <x:v>38</x:v>
      </x:c>
      <x:c r="D3" s="34" t="n">
        <x:f>RESULT_B!B25</x:f>
        <x:v>50</x:v>
      </x:c>
      <x:c r="E3" s="34" t="n">
        <x:f>RESULT_B!B16</x:f>
        <x:v>82</x:v>
      </x:c>
      <x:c r="F3" s="34" t="str">
        <x:f>IF(OR(B3="",C3="",D3="",E3=""),"MISSING",IF(B3=D3,"SAME SLO","DIFFERENT SLO"))</x:f>
        <x:v>SAME SLO</x:v>
      </x:c>
    </x:row>
    <x:row r="4">
      <x:c r="A4" t="str">
        <x:v>p95 E2E</x:v>
      </x:c>
      <x:c r="B4" s="34" t="n">
        <x:f>RESULT_A!B26</x:f>
        <x:v>5000</x:v>
      </x:c>
      <x:c r="C4" s="34" t="n">
        <x:f>RESULT_A!B22</x:f>
        <x:v>4100</x:v>
      </x:c>
      <x:c r="D4" s="34" t="n">
        <x:f>RESULT_B!B26</x:f>
        <x:v>5000</x:v>
      </x:c>
      <x:c r="E4" s="34" t="n">
        <x:f>RESULT_B!B22</x:f>
        <x:v>3900</x:v>
      </x:c>
      <x:c r="F4" s="34" t="str">
        <x:f>IF(OR(B4="",C4="",D4="",E4=""),"MISSING",IF(B4=D4,"SAME SLO","DIFFERENT SLO"))</x:f>
        <x:v>SAME SLO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0" hidden="0" customWidth="1"/>
    <x:col min="3" max="3" width="20" hidden="0" customWidth="1"/>
    <x:col min="4" max="4" width="70" hidden="0" customWidth="1"/>
  </x:cols>
  <x:sheetData>
    <x:row r="1">
      <x:c r="A1" s="26" t="str">
        <x:v>Decision</x:v>
      </x:c>
      <x:c r="B1" s="26" t="str">
        <x:v>Value</x:v>
      </x:c>
      <x:c r="C1" s="26" t="str">
        <x:v>Class</x:v>
      </x:c>
      <x:c r="D1" s="26" t="str">
        <x:v>Note</x:v>
      </x:c>
    </x:row>
    <x:row r="2">
      <x:c r="A2" s="25" t="str">
        <x:v>Final comparison result</x:v>
      </x:c>
      <x:c r="B2" s="37" t="str">
        <x:f>IF(OR(NORMALIZATION!B2&lt;&gt;"PASS",NORMALIZATION!B3="MISSING",NORMALIZATION!B10="MISSING",NORMALIZATION!B12="MISSING",NORMALIZATION!B13="MISSING",NORMALIZATION!B14="MISSING"),"INSUFFICIENT METADATA",IF(OR(NORMALIZATION!B3="DIFFERENT",NORMALIZATION!B5&lt;&gt;"MATCH",NORMALIZATION!B8&lt;&gt;"PASS",NORMALIZATION!B9&lt;&gt;"MATCH",NORMALIZATION!B11&lt;&gt;"MATCH",NORMALIZATION!B13="DIFFERENT"),"NOT DIRECTLY COMPARABLE","COMPARABLE"))</x:f>
        <x:v>COMPARABLE</x:v>
      </x:c>
      <x:c r="C2" s="25" t="str"/>
      <x:c r="D2" s="25" t="str">
        <x:v>COMPARABLE / NOT DIRECTLY COMPARABLE / INSUFFICIENT METADATA</x:v>
      </x:c>
    </x:row>
    <x:row r="3">
      <x:c r="A3" s="25" t="str">
        <x:v>Blocking reason</x:v>
      </x:c>
      <x:c r="B3" s="37" t="str">
        <x:f>IF(NORMALIZATION!B2&lt;&gt;"PASS","INVALID RESULT INPUT",IF(NORMALIZATION!B3="MISSING","MISSING METRIC SEMANTICS",IF(NORMALIZATION!B3="DIFFERENT","METRIC SEMANTICS DIFFER",IF(NORMALIZATION!B5&lt;&gt;"MATCH","MODEL / PRECISION / REASONING DIFFER",IF(NORMALIZATION!B8&lt;&gt;"PASS","QUALITY GATE DIFFERS OR FAILS",IF(NORMALIZATION!B9&lt;&gt;"MATCH","WORKLOAD / OUTPUT RULE DIFFERS",IF(NORMALIZATION!B10="MISSING","MEAN OSL MISSING",IF(NORMALIZATION!B11&lt;&gt;"MATCH","BENCHMARK MODE DIFFERS",IF(NORMALIZATION!B12="MISSING","LOAD METADATA MISSING",IF(NORMALIZATION!B13="MISSING","SLO METADATA MISSING",IF(NORMALIZATION!B13="DIFFERENT","SLO THRESHOLDS DIFFER",IF(NORMALIZATION!B14="MISSING","REQUIRED LATENCY PERCENTILE MISSING","NONE"))))))))))))</x:f>
        <x:v>NONE</x:v>
      </x:c>
      <x:c r="C3" s="25" t="str"/>
      <x:c r="D3" s="25" t="str">
        <x:v>First decision-critical issue found.</x:v>
      </x:c>
    </x:row>
    <x:row r="4">
      <x:c r="A4" s="25" t="str">
        <x:v>Metric A semantic ID</x:v>
      </x:c>
      <x:c r="B4" s="37" t="str">
        <x:f>RESULT_A!B3</x:f>
        <x:v>OUTPUT_TOKENS/WALL_SECOND/AGGREGATE/COMPLETED_REQUESTS</x:v>
      </x:c>
      <x:c r="C4" s="25" t="str"/>
      <x:c r="D4" s="25" t="str"/>
    </x:row>
    <x:row r="5">
      <x:c r="A5" s="25" t="str">
        <x:v>Metric B semantic ID</x:v>
      </x:c>
      <x:c r="B5" s="37" t="str">
        <x:f>RESULT_B!B3</x:f>
        <x:v>OUTPUT_TOKENS/WALL_SECOND/AGGREGATE/COMPLETED_REQUESTS</x:v>
      </x:c>
      <x:c r="C5" s="25" t="str"/>
      <x:c r="D5" s="25" t="str"/>
    </x:row>
    <x:row r="6">
      <x:c r="A6" s="25" t="str">
        <x:v>Derived output TPS A</x:v>
      </x:c>
      <x:c r="B6" s="37" t="n">
        <x:f>RESULT_A!B33</x:f>
        <x:v>1000</x:v>
      </x:c>
      <x:c r="C6" s="25" t="str">
        <x:v>tokens/s</x:v>
      </x:c>
      <x:c r="D6" s="25" t="str"/>
    </x:row>
    <x:row r="7">
      <x:c r="A7" s="25" t="str">
        <x:v>Derived output TPS B</x:v>
      </x:c>
      <x:c r="B7" s="37" t="n">
        <x:f>RESULT_B!B33</x:f>
        <x:v>1000</x:v>
      </x:c>
      <x:c r="C7" s="25" t="str">
        <x:v>tokens/s</x:v>
      </x:c>
      <x:c r="D7" s="25" t="str"/>
    </x:row>
    <x:row r="8">
      <x:c r="A8" s="25"/>
      <x:c r="B8" s="25"/>
      <x:c r="C8" s="25"/>
      <x:c r="D8" s="25"/>
    </x:row>
    <x:row r="9">
      <x:c r="A9" s="25"/>
      <x:c r="B9" s="25"/>
      <x:c r="C9" s="25"/>
      <x:c r="D9" s="2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26" t="str">
        <x:v>Proof</x:v>
      </x:c>
      <x:c r="B1" s="26" t="str">
        <x:v>System</x:v>
      </x:c>
      <x:c r="C1" s="26" t="str">
        <x:v>Given output TPS</x:v>
      </x:c>
      <x:c r="D1" s="26" t="str">
        <x:v>Mean OSL / active users</x:v>
      </x:c>
      <x:c r="E1" s="26" t="str">
        <x:v>Derived req/s or user rate</x:v>
      </x:c>
      <x:c r="F1" s="26" t="str">
        <x:v>Conclusion</x:v>
      </x:c>
      <x:c r="G1" s="25"/>
    </x:row>
    <x:row r="2">
      <x:c r="A2" s="25" t="str">
        <x:v>Same TPS, different request capacity</x:v>
      </x:c>
      <x:c r="B2" s="25" t="str">
        <x:v>A</x:v>
      </x:c>
      <x:c r="C2" s="25" t="n">
        <x:v>1000</x:v>
      </x:c>
      <x:c r="D2" s="25" t="n">
        <x:v>100</x:v>
      </x:c>
      <x:c r="E2" s="37" t="n">
        <x:f>C2/D2</x:f>
        <x:v>10</x:v>
      </x:c>
      <x:c r="F2" s="25" t="str">
        <x:v>1,000 output tok/s maps to different request capacity when mean OSL differs.</x:v>
      </x:c>
      <x:c r="G2" s="25"/>
    </x:row>
    <x:row r="3">
      <x:c r="A3" s="25" t="str">
        <x:v>Same TPS, different request capacity</x:v>
      </x:c>
      <x:c r="B3" s="25" t="str">
        <x:v>B</x:v>
      </x:c>
      <x:c r="C3" s="25" t="n">
        <x:v>1000</x:v>
      </x:c>
      <x:c r="D3" s="25" t="n">
        <x:v>1000</x:v>
      </x:c>
      <x:c r="E3" s="37" t="n">
        <x:f>C3/D3</x:f>
        <x:v>1</x:v>
      </x:c>
      <x:c r="F3" s="25" t="str">
        <x:v>Same output TPS; 10× fewer requests/s.</x:v>
      </x:c>
      <x:c r="G3" s="25"/>
    </x:row>
    <x:row r="4">
      <x:c r="A4" s="25" t="str">
        <x:v>Same aggregate TPS, different user rate</x:v>
      </x:c>
      <x:c r="B4" s="25" t="str">
        <x:v>A</x:v>
      </x:c>
      <x:c r="C4" s="25" t="n">
        <x:v>400</x:v>
      </x:c>
      <x:c r="D4" s="25" t="n">
        <x:v>20</x:v>
      </x:c>
      <x:c r="E4" s="37" t="n">
        <x:f>C4/D4</x:f>
        <x:v>20</x:v>
      </x:c>
      <x:c r="F4" s="25" t="str">
        <x:v>Constructed steady state only.</x:v>
      </x:c>
      <x:c r="G4" s="25"/>
    </x:row>
    <x:row r="5">
      <x:c r="A5" s="25" t="str">
        <x:v>Same aggregate TPS, different user rate</x:v>
      </x:c>
      <x:c r="B5" s="25" t="str">
        <x:v>B</x:v>
      </x:c>
      <x:c r="C5" s="25" t="n">
        <x:v>400</x:v>
      </x:c>
      <x:c r="D5" s="25" t="n">
        <x:v>80</x:v>
      </x:c>
      <x:c r="E5" s="37" t="n">
        <x:f>C5/D5</x:f>
        <x:v>5</x:v>
      </x:c>
      <x:c r="F5" s="25" t="str">
        <x:v>Same aggregate TPS; 4× slower user stream.</x:v>
      </x:c>
      <x:c r="G5" s="25"/>
    </x:row>
    <x:row r="6">
      <x:c r="A6" s="25"/>
      <x:c r="B6" s="25"/>
      <x:c r="C6" s="25"/>
      <x:c r="D6" s="25"/>
      <x:c r="E6" s="25"/>
      <x:c r="F6" s="25"/>
      <x:c r="G6" s="25"/>
    </x:row>
    <x:row r="7">
      <x:c r="A7" s="25"/>
      <x:c r="B7" s="25"/>
      <x:c r="C7" s="25"/>
      <x:c r="D7" s="25"/>
      <x:c r="E7" s="25"/>
      <x:c r="F7" s="25"/>
      <x:c r="G7" s="25"/>
    </x:row>
    <x:row r="8">
      <x:c r="A8" s="26" t="str">
        <x:v>System</x:v>
      </x:c>
      <x:c r="B8" s="26" t="str">
        <x:v>Output TPS</x:v>
      </x:c>
      <x:c r="C8" s="26" t="str">
        <x:v>Raw req/s</x:v>
      </x:c>
      <x:c r="D8" s="26" t="str">
        <x:v>SLO-passing req/s</x:v>
      </x:c>
      <x:c r="E8" s="26" t="str">
        <x:v>GPU count</x:v>
      </x:c>
      <x:c r="F8" s="26" t="str">
        <x:v>Goodput/GPU</x:v>
      </x:c>
      <x:c r="G8" s="26" t="str">
        <x:v>Interpretation</x:v>
      </x:c>
    </x:row>
    <x:row r="9">
      <x:c r="A9" s="25" t="str">
        <x:v>A_SLO_STRONG</x:v>
      </x:c>
      <x:c r="B9" s="25" t="n">
        <x:v>1000</x:v>
      </x:c>
      <x:c r="C9" s="25" t="n">
        <x:v>10</x:v>
      </x:c>
      <x:c r="D9" s="25" t="n">
        <x:v>9</x:v>
      </x:c>
      <x:c r="E9" s="25" t="n">
        <x:v>4</x:v>
      </x:c>
      <x:c r="F9" s="37" t="n">
        <x:f>D9/E9</x:f>
        <x:v>2.25</x:v>
      </x:c>
      <x:c r="G9" s="25" t="str">
        <x:v>same raw throughput; higher useful capacity</x:v>
      </x:c>
    </x:row>
    <x:row r="10">
      <x:c r="A10" s="25" t="str">
        <x:v>B_SLO_WEAK</x:v>
      </x:c>
      <x:c r="B10" s="25" t="n">
        <x:v>1000</x:v>
      </x:c>
      <x:c r="C10" s="25" t="n">
        <x:v>10</x:v>
      </x:c>
      <x:c r="D10" s="25" t="n">
        <x:v>5</x:v>
      </x:c>
      <x:c r="E10" s="25" t="n">
        <x:v>4</x:v>
      </x:c>
      <x:c r="F10" s="37" t="n">
        <x:f>D10/E10</x:f>
        <x:v>1.25</x:v>
      </x:c>
      <x:c r="G10" s="25" t="str">
        <x:v>same raw throughput; lower useful capacity</x:v>
      </x:c>
    </x:row>
    <x:row r="11">
      <x:c r="A11" s="25"/>
      <x:c r="B11" s="25"/>
      <x:c r="C11" s="25"/>
      <x:c r="D11" s="25"/>
      <x:c r="E11" s="25"/>
      <x:c r="F11" s="25"/>
      <x:c r="G11" s="25"/>
    </x:row>
    <x:row r="12">
      <x:c r="A12" s="25"/>
      <x:c r="B12" s="25"/>
      <x:c r="C12" s="25"/>
      <x:c r="D12" s="25"/>
      <x:c r="E12" s="25"/>
      <x:c r="F12" s="25"/>
      <x:c r="G12" s="2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0" hidden="0" customWidth="1"/>
    <x:col min="4" max="4" width="82" hidden="0" customWidth="1"/>
    <x:col min="5" max="5" width="16" hidden="0" customWidth="1"/>
    <x:col min="6" max="6" width="62" hidden="0" customWidth="1"/>
    <x:col min="7" max="7" width="62" hidden="0" customWidth="1"/>
    <x:col min="8" max="8" width="62" hidden="0" customWidth="1"/>
  </x:cols>
  <x:sheetData>
    <x:row r="1">
      <x:c r="A1" s="26" t="str">
        <x:v>ID</x:v>
      </x:c>
      <x:c r="B1" s="26" t="str">
        <x:v>Organization</x:v>
      </x:c>
      <x:c r="C1" s="26" t="str">
        <x:v>Document</x:v>
      </x:c>
      <x:c r="D1" s="26" t="str">
        <x:v>URL</x:v>
      </x:c>
      <x:c r="E1" s="26" t="str">
        <x:v>Accessed</x:v>
      </x:c>
      <x:c r="F1" s="26" t="str">
        <x:v>Supports</x:v>
      </x:c>
      <x:c r="G1" s="26" t="str">
        <x:v>Current status</x:v>
      </x:c>
      <x:c r="H1" s="26" t="str">
        <x:v>Limitation</x:v>
      </x:c>
    </x:row>
    <x:row r="2">
      <x:c r="A2" s="25" t="str">
        <x:v>S01</x:v>
      </x:c>
      <x:c r="B2" s="25" t="str">
        <x:v>vLLM</x:v>
      </x:c>
      <x:c r="C2" s="25" t="str">
        <x:v>vllm.benchmarks.serve</x:v>
      </x:c>
      <x:c r="D2" s="25" t="str">
        <x:v>https://docs.vllm.ai/en/latest/api/vllm/benchmarks/serve/</x:v>
      </x:c>
      <x:c r="E2" s="25" t="str">
        <x:v>2026-08-11</x:v>
      </x:c>
      <x:c r="F2" s="25" t="str">
        <x:v>Exact current formulas for request throughput, request goodput, output throughput, total token throughput and latency percentiles.</x:v>
      </x:c>
      <x:c r="G2" s="25" t="str">
        <x:v>current latest docs</x:v>
      </x:c>
      <x:c r="H2" s="25" t="str">
        <x:v>vLLM-specific.</x:v>
      </x:c>
    </x:row>
    <x:row r="3">
      <x:c r="A3" s="25" t="str">
        <x:v>S02</x:v>
      </x:c>
      <x:c r="B3" s="25" t="str">
        <x:v>vLLM</x:v>
      </x:c>
      <x:c r="C3" s="25" t="str">
        <x:v>vllm bench serve CLI</x:v>
      </x:c>
      <x:c r="D3" s="25" t="str">
        <x:v>https://docs.vllm.ai/en/latest/cli/bench/serve/</x:v>
      </x:c>
      <x:c r="E3" s="25" t="str">
        <x:v>2026-08-11</x:v>
      </x:c>
      <x:c r="F3" s="25" t="str">
        <x:v>Request-rate arrival behavior; goodput SLO keys; TTFT/TPOT/ITL/E2EL percentile configuration.</x:v>
      </x:c>
      <x:c r="G3" s="25" t="str">
        <x:v>current latest docs</x:v>
      </x:c>
      <x:c r="H3" s="25" t="str">
        <x:v>Tool-specific semantics.</x:v>
      </x:c>
    </x:row>
    <x:row r="4">
      <x:c r="A4" s="25" t="str">
        <x:v>S03</x:v>
      </x:c>
      <x:c r="B4" s="25" t="str">
        <x:v>vLLM</x:v>
      </x:c>
      <x:c r="C4" s="25" t="str">
        <x:v>Performance Dashboard</x:v>
      </x:c>
      <x:c r="D4" s="25" t="str">
        <x:v>https://docs.vllm.ai/en/latest/benchmarking/dashboard/</x:v>
      </x:c>
      <x:c r="E4" s="25" t="str">
        <x:v>2026-08-11</x:v>
      </x:c>
      <x:c r="F4" s="25" t="str">
        <x:v>Continuous benchmarks jointly surface output throughput and TTFT/TPOT constraints.</x:v>
      </x:c>
      <x:c r="G4" s="25" t="str">
        <x:v>current</x:v>
      </x:c>
      <x:c r="H4" s="25" t="str">
        <x:v>Dashboard configurations are not universal benchmark results.</x:v>
      </x:c>
    </x:row>
    <x:row r="5">
      <x:c r="A5" s="25" t="str">
        <x:v>S04</x:v>
      </x:c>
      <x:c r="B5" s="25" t="str">
        <x:v>NVIDIA</x:v>
      </x:c>
      <x:c r="C5" s="25" t="str">
        <x:v>AIPerf Metrics Reference</x:v>
      </x:c>
      <x:c r="D5" s="25" t="str">
        <x:v>https://docs.nvidia.com/aiperf/reference/ai-perf-metrics-reference</x:v>
      </x:c>
      <x:c r="E5" s="25" t="str">
        <x:v>2026-08-11</x:v>
      </x:c>
      <x:c r="F5" s="25" t="str">
        <x:v>Aggregate output/total TPS, per-user output rate, goodput, TTFT/TTFO/ITL definitions.</x:v>
      </x:c>
      <x:c r="G5" s="25" t="str">
        <x:v>current</x:v>
      </x:c>
      <x:c r="H5" s="25" t="str">
        <x:v>AIPerf-specific.</x:v>
      </x:c>
    </x:row>
    <x:row r="6">
      <x:c r="A6" s="25" t="str">
        <x:v>S05</x:v>
      </x:c>
      <x:c r="B6" s="25" t="str">
        <x:v>NVIDIA</x:v>
      </x:c>
      <x:c r="C6" s="25" t="str">
        <x:v>Migrating from GenAI-Perf</x:v>
      </x:c>
      <x:c r="D6" s="25" t="str">
        <x:v>https://docs.nvidia.com/aiperf/getting-started/migrating-from-gen-ai-perf</x:v>
      </x:c>
      <x:c r="E6" s="25" t="str">
        <x:v>2026-08-11</x:v>
      </x:c>
      <x:c r="F6" s="25" t="str">
        <x:v>Reasoning-token semantic differences: AIPerf TTFT vs TTFO and OSL vs Output Token Count.</x:v>
      </x:c>
      <x:c r="G6" s="25" t="str">
        <x:v>current</x:v>
      </x:c>
      <x:c r="H6" s="25" t="str">
        <x:v>Migration-specific.</x:v>
      </x:c>
    </x:row>
    <x:row r="7">
      <x:c r="A7" s="25" t="str">
        <x:v>S06</x:v>
      </x:c>
      <x:c r="B7" s="25" t="str">
        <x:v>NVIDIA</x:v>
      </x:c>
      <x:c r="C7" s="25" t="str">
        <x:v>NIM LLM Benchmarking Metrics</x:v>
      </x:c>
      <x:c r="D7" s="25" t="str">
        <x:v>https://docs.nvidia.com/nim/benchmarking/llm/latest/metrics.html</x:v>
      </x:c>
      <x:c r="E7" s="25" t="str">
        <x:v>2026-08-11</x:v>
      </x:c>
      <x:c r="F7" s="25" t="str">
        <x:v>Current warning that tools differ; AIPerf aggregate TPS and per-user/ITL relationship.</x:v>
      </x:c>
      <x:c r="G7" s="25" t="str">
        <x:v>updated 2026-07-20</x:v>
      </x:c>
      <x:c r="H7" s="25" t="str">
        <x:v>NVIDIA NIM guide.</x:v>
      </x:c>
    </x:row>
    <x:row r="8">
      <x:c r="A8" s="25" t="str">
        <x:v>S07</x:v>
      </x:c>
      <x:c r="B8" s="25" t="str">
        <x:v>MLCommons</x:v>
      </x:c>
      <x:c r="C8" s="25" t="str">
        <x:v>MLPerf Inference v6.0 reference suite</x:v>
      </x:c>
      <x:c r="D8" s="25" t="str">
        <x:v>https://github.com/mlcommons/inference</x:v>
      </x:c>
      <x:c r="E8" s="25" t="str">
        <x:v>2026-08-11</x:v>
      </x:c>
      <x:c r="F8" s="25" t="str">
        <x:v>v6.0 current generation and benchmark identities.</x:v>
      </x:c>
      <x:c r="G8" s="25" t="str">
        <x:v>v6.0 current published generation</x:v>
      </x:c>
      <x:c r="H8" s="25" t="str">
        <x:v>Standardized suite; not casual TPS.</x:v>
      </x:c>
    </x:row>
    <x:row r="9">
      <x:c r="A9" s="25" t="str">
        <x:v>S08</x:v>
      </x:c>
      <x:c r="B9" s="25" t="str">
        <x:v>MLCommons</x:v>
      </x:c>
      <x:c r="C9" s="25" t="str">
        <x:v>MLPerf Inference Rules</x:v>
      </x:c>
      <x:c r="D9" s="25" t="str">
        <x:v>https://github.com/mlcommons/inference_policies/blob/master/inference_rules.adoc</x:v>
      </x:c>
      <x:c r="E9" s="25" t="str">
        <x:v>2026-08-11</x:v>
      </x:c>
      <x:c r="F9" s="25" t="str">
        <x:v>Server/Interactive Poisson scenario, Offline scenario, latency/quality constraints, LoadGen rules.</x:v>
      </x:c>
      <x:c r="G9" s="25" t="str">
        <x:v>current master</x:v>
      </x:c>
      <x:c r="H9" s="25" t="str">
        <x:v>Rules are MLPerf-specific.</x:v>
      </x:c>
    </x:row>
    <x:row r="10">
      <x:c r="A10" s="25" t="str">
        <x:v>S09</x:v>
      </x:c>
      <x:c r="B10" s="25" t="str">
        <x:v>NVIDIA</x:v>
      </x:c>
      <x:c r="C10" s="25" t="str">
        <x:v>TensorRT-LLM Performance Overview</x:v>
      </x:c>
      <x:c r="D10" s="25" t="str">
        <x:v>https://nvidia.github.io/TensorRT-LLM/performance/perf-overview.html</x:v>
      </x:c>
      <x:c r="E10" s="25" t="str">
        <x:v>2026-08-11</x:v>
      </x:c>
      <x:c r="F10" s="25" t="str">
        <x:v>Current maximum-load throughput measurements report Total Output Throughput alongside request throughput, per-user output speed, TTFT and TPOT.</x:v>
      </x:c>
      <x:c r="G10" s="25" t="str">
        <x:v>current page</x:v>
      </x:c>
      <x:c r="H10" s="25" t="str">
        <x:v>Reference measurements; not used as universal performance evidence.</x:v>
      </x:c>
    </x:row>
    <x:row r="11">
      <x:c r="A11" s="25" t="str">
        <x:v>S10</x:v>
      </x:c>
      <x:c r="B11" s="25" t="str">
        <x:v>SGLang</x:v>
      </x:c>
      <x:c r="C11" s="25" t="str">
        <x:v>Bench Serving Guide</x:v>
      </x:c>
      <x:c r="D11" s="25" t="str">
        <x:v>https://github.com/sgl-project/sglang/blob/main/docs/developer_guide/bench_serving.md</x:v>
      </x:c>
      <x:c r="E11" s="25" t="str">
        <x:v>2026-08-11</x:v>
      </x:c>
      <x:c r="F11" s="25" t="str">
        <x:v>Current online benchmark exposes request/input/output/total throughput, concurrency, TTFT, ITL, TPOT and E2E.</x:v>
      </x:c>
      <x:c r="G11" s="25" t="str">
        <x:v>current main</x:v>
      </x:c>
      <x:c r="H11" s="25" t="str">
        <x:v>Pin release in production.</x:v>
      </x:c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pageMargins left="0.7" right="0.7" top="0.75" bottom="0.75" header="0.3" footer="0.3"/>
</x:worksheet>
</file>