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3cf96187a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5aceec4f0b4f12"/>
    <x:sheet xmlns:r="http://schemas.openxmlformats.org/officeDocument/2006/relationships" name="INPUTS" sheetId="2" r:id="R39ae0a5a92a3417b"/>
    <x:sheet xmlns:r="http://schemas.openxmlformats.org/officeDocument/2006/relationships" name="HARDWARE" sheetId="3" r:id="R7bbfc82138794d68"/>
    <x:sheet xmlns:r="http://schemas.openxmlformats.org/officeDocument/2006/relationships" name="FORMATS" sheetId="4" r:id="R5f0398018cd74219"/>
    <x:sheet xmlns:r="http://schemas.openxmlformats.org/officeDocument/2006/relationships" name="MEMORY" sheetId="5" r:id="Rfa23c269ce054ecd"/>
    <x:sheet xmlns:r="http://schemas.openxmlformats.org/officeDocument/2006/relationships" name="KERNEL" sheetId="6" r:id="Rb93a4810c04145a5"/>
    <x:sheet xmlns:r="http://schemas.openxmlformats.org/officeDocument/2006/relationships" name="SLO" sheetId="7" r:id="R29f687d7218a420d"/>
    <x:sheet xmlns:r="http://schemas.openxmlformats.org/officeDocument/2006/relationships" name="QUALITY" sheetId="8" r:id="R4d34dee0652c4e77"/>
    <x:sheet xmlns:r="http://schemas.openxmlformats.org/officeDocument/2006/relationships" name="GPU_COUNT" sheetId="9" r:id="R836833684de94659"/>
    <x:sheet xmlns:r="http://schemas.openxmlformats.org/officeDocument/2006/relationships" name="ECONOMICS" sheetId="10" r:id="Re646cbb1593c4d2b"/>
    <x:sheet xmlns:r="http://schemas.openxmlformats.org/officeDocument/2006/relationships" name="SCENARIOS" sheetId="11" r:id="R576e7c6015dc4690"/>
    <x:sheet xmlns:r="http://schemas.openxmlformats.org/officeDocument/2006/relationships" name="SENSITIVITY" sheetId="12" r:id="R24ace9b5232940fd"/>
    <x:sheet xmlns:r="http://schemas.openxmlformats.org/officeDocument/2006/relationships" name="BENCHMARKS" sheetId="13" r:id="Red0116d0be4742e1"/>
    <x:sheet xmlns:r="http://schemas.openxmlformats.org/officeDocument/2006/relationships" name="SOURCES" sheetId="14" r:id="Rbe87d77f0a6b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92be93b624838" /><Relationship Type="http://schemas.openxmlformats.org/officeDocument/2006/relationships/theme" Target="/xl/theme/theme1.xml" Id="R4f7f795501394af0" /><Relationship Type="http://schemas.openxmlformats.org/officeDocument/2006/relationships/sharedStrings" Target="/xl/sharedStrings.xml" Id="R6879823a8afe4c87" /><Relationship Type="http://schemas.openxmlformats.org/officeDocument/2006/relationships/worksheet" Target="/xl/worksheets/sheet1.xml" Id="R435aceec4f0b4f12" /><Relationship Type="http://schemas.openxmlformats.org/officeDocument/2006/relationships/worksheet" Target="/xl/worksheets/sheet2.xml" Id="R39ae0a5a92a3417b" /><Relationship Type="http://schemas.openxmlformats.org/officeDocument/2006/relationships/worksheet" Target="/xl/worksheets/sheet3.xml" Id="R7bbfc82138794d68" /><Relationship Type="http://schemas.openxmlformats.org/officeDocument/2006/relationships/worksheet" Target="/xl/worksheets/sheet4.xml" Id="R5f0398018cd74219" /><Relationship Type="http://schemas.openxmlformats.org/officeDocument/2006/relationships/worksheet" Target="/xl/worksheets/sheet5.xml" Id="Rfa23c269ce054ecd" /><Relationship Type="http://schemas.openxmlformats.org/officeDocument/2006/relationships/worksheet" Target="/xl/worksheets/sheet6.xml" Id="Rb93a4810c04145a5" /><Relationship Type="http://schemas.openxmlformats.org/officeDocument/2006/relationships/worksheet" Target="/xl/worksheets/sheet7.xml" Id="R29f687d7218a420d" /><Relationship Type="http://schemas.openxmlformats.org/officeDocument/2006/relationships/worksheet" Target="/xl/worksheets/sheet8.xml" Id="R4d34dee0652c4e77" /><Relationship Type="http://schemas.openxmlformats.org/officeDocument/2006/relationships/worksheet" Target="/xl/worksheets/sheet9.xml" Id="R836833684de94659" /><Relationship Type="http://schemas.openxmlformats.org/officeDocument/2006/relationships/worksheet" Target="/xl/worksheets/sheet10.xml" Id="Re646cbb1593c4d2b" /><Relationship Type="http://schemas.openxmlformats.org/officeDocument/2006/relationships/worksheet" Target="/xl/worksheets/sheet11.xml" Id="R576e7c6015dc4690" /><Relationship Type="http://schemas.openxmlformats.org/officeDocument/2006/relationships/worksheet" Target="/xl/worksheets/sheet12.xml" Id="R24ace9b5232940fd" /><Relationship Type="http://schemas.openxmlformats.org/officeDocument/2006/relationships/worksheet" Target="/xl/worksheets/sheet13.xml" Id="Red0116d0be4742e1" /><Relationship Type="http://schemas.openxmlformats.org/officeDocument/2006/relationships/worksheet" Target="/xl/worksheets/sheet14.xml" Id="Rbe87d77f0a6b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12" t="str">
        <x:v>SECOND / PASS — Quantization Break-Even Model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7" t="str">
        <x:v>Decision model: compare higher precision with a proposed low-bit path using weight/KV memory, GPU-count discontinuities, measured or HOUSE throughput, quality-adjusted cost, SLO feasibility, and dequantization overhead. Public defaults are HOUSE assumptions. No universal 4-bit speedup is emitted.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5">
      <x:c r="A5" s="13"/>
      <x:c r="B5" s="13"/>
      <x:c r="C5" s="13"/>
      <x:c r="D5" s="13"/>
      <x:c r="E5" s="13"/>
      <x:c r="F5" s="13"/>
    </x:row>
    <x:row r="6">
      <x:c r="A6" s="13"/>
      <x:c r="B6" s="13"/>
      <x:c r="C6" s="13"/>
      <x:c r="D6" s="13"/>
      <x:c r="E6" s="13"/>
      <x:c r="F6" s="13"/>
    </x:row>
    <x:row r="7">
      <x:c r="A7" s="13"/>
      <x:c r="B7" s="13"/>
      <x:c r="C7" s="13"/>
      <x:c r="D7" s="13"/>
      <x:c r="E7" s="13"/>
      <x:c r="F7" s="13"/>
    </x:row>
    <x:row r="8">
      <x:c r="A8" s="13"/>
      <x:c r="B8" s="13"/>
      <x:c r="C8" s="13"/>
      <x:c r="D8" s="13"/>
      <x:c r="E8" s="13"/>
      <x:c r="F8" s="13"/>
    </x:row>
    <x:row r="9">
      <x:c r="A9" s="14" t="str">
        <x:v>Sheet</x:v>
      </x:c>
      <x:c r="B9" s="14" t="str">
        <x:v>Purpose</x:v>
      </x:c>
      <x:c r="C9" s="13"/>
      <x:c r="D9" s="13"/>
      <x:c r="E9" s="13"/>
      <x:c r="F9" s="13"/>
    </x:row>
    <x:row r="10">
      <x:c r="A10" s="13" t="str">
        <x:v>INPUTS</x:v>
      </x:c>
      <x:c r="B10" s="13" t="str">
        <x:v>Buyer-editable model/workload/GPU/quality/SLO inputs</x:v>
      </x:c>
      <x:c r="C10" s="13"/>
      <x:c r="D10" s="13"/>
      <x:c r="E10" s="13"/>
      <x:c r="F10" s="13"/>
    </x:row>
    <x:row r="11">
      <x:c r="A11" s="13" t="str">
        <x:v>HARDWARE</x:v>
      </x:c>
      <x:c r="B11" s="13" t="str">
        <x:v>Current NVIDIA memory/bandwidth/precision reference</x:v>
      </x:c>
      <x:c r="C11" s="13"/>
      <x:c r="D11" s="13"/>
      <x:c r="E11" s="13"/>
      <x:c r="F11" s="13"/>
    </x:row>
    <x:row r="12">
      <x:c r="A12" s="13" t="str">
        <x:v>FORMATS</x:v>
      </x:c>
      <x:c r="B12" s="13" t="str">
        <x:v>Quantization definitions and effective-bit assumptions</x:v>
      </x:c>
      <x:c r="C12" s="13"/>
      <x:c r="D12" s="13"/>
      <x:c r="E12" s="13"/>
      <x:c r="F12" s="13"/>
    </x:row>
    <x:row r="13">
      <x:c r="A13" s="13" t="str">
        <x:v>MEMORY</x:v>
      </x:c>
      <x:c r="B13" s="13" t="str">
        <x:v>Weight, KV and total memory calculation</x:v>
      </x:c>
      <x:c r="C13" s="13"/>
      <x:c r="D13" s="13"/>
      <x:c r="E13" s="13"/>
      <x:c r="F13" s="13"/>
    </x:row>
    <x:row r="14">
      <x:c r="A14" s="13" t="str">
        <x:v>KERNEL</x:v>
      </x:c>
      <x:c r="B14" s="13" t="str">
        <x:v>Roofline/dequantization teaching model</x:v>
      </x:c>
      <x:c r="C14" s="13"/>
      <x:c r="D14" s="13"/>
      <x:c r="E14" s="13"/>
      <x:c r="F14" s="13"/>
    </x:row>
    <x:row r="15">
      <x:c r="A15" s="13" t="str">
        <x:v>SLO</x:v>
      </x:c>
      <x:c r="B15" s="13" t="str">
        <x:v>TTFT/TPOT feasibility gate</x:v>
      </x:c>
      <x:c r="C15" s="13"/>
      <x:c r="D15" s="13"/>
      <x:c r="E15" s="13"/>
      <x:c r="F15" s="13"/>
    </x:row>
    <x:row r="16">
      <x:c r="A16" s="13" t="str">
        <x:v>QUALITY</x:v>
      </x:c>
      <x:c r="B16" s="13" t="str">
        <x:v>Cost per successful task and quality break-even</x:v>
      </x:c>
      <x:c r="C16" s="13"/>
      <x:c r="D16" s="13"/>
      <x:c r="E16" s="13"/>
      <x:c r="F16" s="13"/>
    </x:row>
    <x:row r="17">
      <x:c r="A17" s="13" t="str">
        <x:v>GPU_COUNT</x:v>
      </x:c>
      <x:c r="B17" s="13" t="str">
        <x:v>Ceiling-function GPU count / discontinuity</x:v>
      </x:c>
      <x:c r="C17" s="13"/>
      <x:c r="D17" s="13"/>
      <x:c r="E17" s="13"/>
      <x:c r="F17" s="13"/>
    </x:row>
    <x:row r="18">
      <x:c r="A18" s="13" t="str">
        <x:v>ECONOMICS</x:v>
      </x:c>
      <x:c r="B18" s="13" t="str">
        <x:v>Cost per million output tokens and request</x:v>
      </x:c>
      <x:c r="C18" s="13"/>
      <x:c r="D18" s="13"/>
      <x:c r="E18" s="13"/>
      <x:c r="F18" s="13"/>
    </x:row>
    <x:row r="19">
      <x:c r="A19" s="13" t="str">
        <x:v>SCENARIOS</x:v>
      </x:c>
      <x:c r="B19" s="13" t="str">
        <x:v>Three HOUSE scenarios + long-context option</x:v>
      </x:c>
      <x:c r="C19" s="13"/>
      <x:c r="D19" s="13"/>
      <x:c r="E19" s="13"/>
      <x:c r="F19" s="13"/>
    </x:row>
    <x:row r="20">
      <x:c r="A20" s="13" t="str">
        <x:v>SENSITIVITY</x:v>
      </x:c>
      <x:c r="B20" s="13" t="str">
        <x:v>Quality/throughput/dequant/context sweeps</x:v>
      </x:c>
      <x:c r="C20" s="13"/>
      <x:c r="D20" s="13"/>
      <x:c r="E20" s="13"/>
      <x:c r="F20" s="13"/>
    </x:row>
    <x:row r="21">
      <x:c r="A21" s="13" t="str">
        <x:v>BENCHMARKS</x:v>
      </x:c>
      <x:c r="B21" s="13" t="str">
        <x:v>Primary-source benchmark evidence with caveats</x:v>
      </x:c>
      <x:c r="C21" s="13"/>
      <x:c r="D21" s="13"/>
      <x:c r="E21" s="13"/>
      <x:c r="F21" s="13"/>
    </x:row>
    <x:row r="22">
      <x:c r="A22" s="13" t="str">
        <x:v>SOURCES</x:v>
      </x:c>
      <x:c r="B22" s="13" t="str">
        <x:v>Current source map</x:v>
      </x:c>
      <x:c r="C22" s="13"/>
      <x:c r="D22" s="13"/>
      <x:c r="E22" s="13"/>
      <x:c r="F22" s="13"/>
    </x:row>
    <x:row r="23">
      <x:c r="A23" s="13"/>
      <x:c r="B23" s="13"/>
      <x:c r="C23" s="13"/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/>
      <x:c r="B25" s="13"/>
      <x:c r="C25" s="13"/>
      <x:c r="D25" s="13"/>
      <x:c r="E25" s="13"/>
      <x:c r="F25" s="13"/>
    </x:row>
  </x:sheetData>
  <x:mergeCells>
    <x:mergeCell ref="A1:F1"/>
    <x:mergeCell ref="A3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24" hidden="0" customWidth="1"/>
    <x:col min="4" max="4" width="72" hidden="0" customWidth="1"/>
  </x:cols>
  <x:sheetData>
    <x:row r="1">
      <x:c r="A1" s="14" t="str">
        <x:v>Input</x:v>
      </x:c>
      <x:c r="B1" s="14" t="str">
        <x:v>Value</x:v>
      </x:c>
      <x:c r="C1" s="14" t="str">
        <x:v>Unit</x:v>
      </x:c>
      <x:c r="D1" s="14" t="str">
        <x:v>Note</x:v>
      </x:c>
    </x:row>
    <x:row r="2">
      <x:c r="A2" s="13" t="str">
        <x:v>Model parameters</x:v>
      </x:c>
      <x:c r="B2" s="22" t="n">
        <x:v>70</x:v>
      </x:c>
      <x:c r="C2" s="13" t="str">
        <x:v>B params</x:v>
      </x:c>
      <x:c r="D2" s="13" t="str">
        <x:v>HOUSE default</x:v>
      </x:c>
    </x:row>
    <x:row r="3">
      <x:c r="A3" s="13" t="str">
        <x:v>Higher-precision weight bits</x:v>
      </x:c>
      <x:c r="B3" s="22" t="n">
        <x:v>16</x:v>
      </x:c>
      <x:c r="C3" s="13" t="str">
        <x:v>bits/weight</x:v>
      </x:c>
      <x:c r="D3" s="13" t="str">
        <x:v>BF16 reference</x:v>
      </x:c>
    </x:row>
    <x:row r="4">
      <x:c r="A4" s="13" t="str">
        <x:v>Quantized base bits</x:v>
      </x:c>
      <x:c r="B4" s="22" t="n">
        <x:v>4</x:v>
      </x:c>
      <x:c r="C4" s="13" t="str">
        <x:v>bits/weight</x:v>
      </x:c>
      <x:c r="D4" s="13" t="str">
        <x:v>W4 weight payload</x:v>
      </x:c>
    </x:row>
    <x:row r="5">
      <x:c r="A5" s="13" t="str">
        <x:v>Quant group size</x:v>
      </x:c>
      <x:c r="B5" s="22" t="n">
        <x:v>128</x:v>
      </x:c>
      <x:c r="C5" s="13" t="str">
        <x:v>weights/group</x:v>
      </x:c>
      <x:c r="D5" s="13" t="str">
        <x:v>AWQ HOUSE footprint</x:v>
      </x:c>
    </x:row>
    <x:row r="6">
      <x:c r="A6" s="13" t="str">
        <x:v>Scale bits/group</x:v>
      </x:c>
      <x:c r="B6" s="22" t="n">
        <x:v>16</x:v>
      </x:c>
      <x:c r="C6" s="13" t="str">
        <x:v>bits/group</x:v>
      </x:c>
      <x:c r="D6" s="13" t="str">
        <x:v>HOUSE: one FP16 scale/group</x:v>
      </x:c>
    </x:row>
    <x:row r="7">
      <x:c r="A7" s="13" t="str">
        <x:v>Zero-point bits/group</x:v>
      </x:c>
      <x:c r="B7" s="22" t="n">
        <x:v>0</x:v>
      </x:c>
      <x:c r="C7" s="13" t="str">
        <x:v>bits/group</x:v>
      </x:c>
      <x:c r="D7" s="13" t="str">
        <x:v>HOUSE default symmetric/no zero</x:v>
      </x:c>
    </x:row>
    <x:row r="8">
      <x:c r="A8" s="13" t="str">
        <x:v>Layers</x:v>
      </x:c>
      <x:c r="B8" s="22" t="n">
        <x:v>80</x:v>
      </x:c>
      <x:c r="C8" s="13" t="str">
        <x:v>layers</x:v>
      </x:c>
      <x:c r="D8" s="13" t="str">
        <x:v>Generic 70B HOUSE architecture</x:v>
      </x:c>
    </x:row>
    <x:row r="9">
      <x:c r="A9" s="13" t="str">
        <x:v>KV heads</x:v>
      </x:c>
      <x:c r="B9" s="22" t="n">
        <x:v>8</x:v>
      </x:c>
      <x:c r="C9" s="13" t="str">
        <x:v>heads</x:v>
      </x:c>
      <x:c r="D9" s="13" t="str">
        <x:v>HOUSE</x:v>
      </x:c>
    </x:row>
    <x:row r="10">
      <x:c r="A10" s="13" t="str">
        <x:v>Head dimension</x:v>
      </x:c>
      <x:c r="B10" s="22" t="n">
        <x:v>128</x:v>
      </x:c>
      <x:c r="C10" s="13" t="str">
        <x:v>elements</x:v>
      </x:c>
      <x:c r="D10" s="13" t="str">
        <x:v>HOUSE</x:v>
      </x:c>
    </x:row>
    <x:row r="11">
      <x:c r="A11" s="13" t="str">
        <x:v>KV bytes/element</x:v>
      </x:c>
      <x:c r="B11" s="22" t="n">
        <x:v>2</x:v>
      </x:c>
      <x:c r="C11" s="13" t="str">
        <x:v>bytes</x:v>
      </x:c>
      <x:c r="D11" s="13" t="str">
        <x:v>BF16 KV</x:v>
      </x:c>
    </x:row>
    <x:row r="12">
      <x:c r="A12" s="13" t="str">
        <x:v>Context length</x:v>
      </x:c>
      <x:c r="B12" s="22" t="n">
        <x:v>4096</x:v>
      </x:c>
      <x:c r="C12" s="13" t="str">
        <x:v>tokens/sequence</x:v>
      </x:c>
      <x:c r="D12" s="13" t="str">
        <x:v>HOUSE</x:v>
      </x:c>
    </x:row>
    <x:row r="13">
      <x:c r="A13" s="13" t="str">
        <x:v>Concurrent sequences</x:v>
      </x:c>
      <x:c r="B13" s="22" t="n">
        <x:v>8</x:v>
      </x:c>
      <x:c r="C13" s="13" t="str">
        <x:v>sequences</x:v>
      </x:c>
      <x:c r="D13" s="13" t="str">
        <x:v>HOUSE</x:v>
      </x:c>
    </x:row>
    <x:row r="14">
      <x:c r="A14" s="13" t="str">
        <x:v>Other runtime memory</x:v>
      </x:c>
      <x:c r="B14" s="22" t="n">
        <x:v>8</x:v>
      </x:c>
      <x:c r="C14" s="13" t="str">
        <x:v>GB</x:v>
      </x:c>
      <x:c r="D14" s="13" t="str">
        <x:v>activations/workspace/runtime/fragmentation aggregate HOUSE input</x:v>
      </x:c>
    </x:row>
    <x:row r="15">
      <x:c r="A15" s="13" t="str">
        <x:v>GPU memory</x:v>
      </x:c>
      <x:c r="B15" s="22" t="n">
        <x:v>141</x:v>
      </x:c>
      <x:c r="C15" s="13" t="str">
        <x:v>GB</x:v>
      </x:c>
      <x:c r="D15" s="13" t="str">
        <x:v>H200 observed physical</x:v>
      </x:c>
    </x:row>
    <x:row r="16">
      <x:c r="A16" s="13" t="str">
        <x:v>Usable memory fraction</x:v>
      </x:c>
      <x:c r="B16" s="23" t="n">
        <x:v>0.9</x:v>
      </x:c>
      <x:c r="C16" s="13" t="str">
        <x:v>ratio</x:v>
      </x:c>
      <x:c r="D16" s="13" t="str">
        <x:v>HOUSE reserve</x:v>
      </x:c>
    </x:row>
    <x:row r="17">
      <x:c r="A17" s="13" t="str">
        <x:v>GPU hourly cost</x:v>
      </x:c>
      <x:c r="B17" s="22" t="n">
        <x:v>4</x:v>
      </x:c>
      <x:c r="C17" s="13" t="str">
        <x:v>USD/GPU-hour</x:v>
      </x:c>
      <x:c r="D17" s="13" t="str">
        <x:v>HOUSE; not vendor price</x:v>
      </x:c>
    </x:row>
    <x:row r="18">
      <x:c r="A18" s="13" t="str">
        <x:v>Higher precision output throughput</x:v>
      </x:c>
      <x:c r="B18" s="22" t="n">
        <x:v>110</x:v>
      </x:c>
      <x:c r="C18" s="13" t="str">
        <x:v>tok/s total deployment</x:v>
      </x:c>
      <x:c r="D18" s="13" t="str">
        <x:v>HOUSE or replace with measurement</x:v>
      </x:c>
    </x:row>
    <x:row r="19">
      <x:c r="A19" s="13" t="str">
        <x:v>Quantized output throughput</x:v>
      </x:c>
      <x:c r="B19" s="22" t="n">
        <x:v>80</x:v>
      </x:c>
      <x:c r="C19" s="13" t="str">
        <x:v>tok/s total deployment</x:v>
      </x:c>
      <x:c r="D19" s="13" t="str">
        <x:v>HOUSE or replace with measurement</x:v>
      </x:c>
    </x:row>
    <x:row r="20">
      <x:c r="A20" s="13" t="str">
        <x:v>Higher precision task success</x:v>
      </x:c>
      <x:c r="B20" s="23" t="n">
        <x:v>0.99</x:v>
      </x:c>
      <x:c r="C20" s="13" t="str">
        <x:v>probability</x:v>
      </x:c>
      <x:c r="D20" s="13" t="str">
        <x:v>HOUSE or measured eval</x:v>
      </x:c>
    </x:row>
    <x:row r="21">
      <x:c r="A21" s="13" t="str">
        <x:v>Quantized task success</x:v>
      </x:c>
      <x:c r="B21" s="23" t="n">
        <x:v>0.975</x:v>
      </x:c>
      <x:c r="C21" s="13" t="str">
        <x:v>probability</x:v>
      </x:c>
      <x:c r="D21" s="13" t="str">
        <x:v>HOUSE or measured eval</x:v>
      </x:c>
    </x:row>
    <x:row r="22">
      <x:c r="A22" s="13" t="str">
        <x:v>Output tokens/request</x:v>
      </x:c>
      <x:c r="B22" s="22" t="n">
        <x:v>256</x:v>
      </x:c>
      <x:c r="C22" s="13" t="str">
        <x:v>tokens/request</x:v>
      </x:c>
      <x:c r="D22" s="13" t="str">
        <x:v>HOUSE workload</x:v>
      </x:c>
    </x:row>
    <x:row r="23">
      <x:c r="A23" s="13" t="str">
        <x:v>Higher TTFT p95</x:v>
      </x:c>
      <x:c r="B23" s="22" t="n">
        <x:v>420</x:v>
      </x:c>
      <x:c r="C23" s="13" t="str">
        <x:v>ms</x:v>
      </x:c>
      <x:c r="D23" s="13" t="str">
        <x:v>HOUSE</x:v>
      </x:c>
    </x:row>
    <x:row r="24">
      <x:c r="A24" s="13" t="str">
        <x:v>Quant TTFT p95</x:v>
      </x:c>
      <x:c r="B24" s="22" t="n">
        <x:v>360</x:v>
      </x:c>
      <x:c r="C24" s="13" t="str">
        <x:v>ms</x:v>
      </x:c>
      <x:c r="D24" s="13" t="str">
        <x:v>HOUSE</x:v>
      </x:c>
    </x:row>
    <x:row r="25">
      <x:c r="A25" s="13" t="str">
        <x:v>Higher TPOT p95</x:v>
      </x:c>
      <x:c r="B25" s="22" t="n">
        <x:v>28</x:v>
      </x:c>
      <x:c r="C25" s="13" t="str">
        <x:v>ms/token</x:v>
      </x:c>
      <x:c r="D25" s="13" t="str">
        <x:v>HOUSE</x:v>
      </x:c>
    </x:row>
    <x:row r="26">
      <x:c r="A26" s="13" t="str">
        <x:v>Quant TPOT p95</x:v>
      </x:c>
      <x:c r="B26" s="22" t="n">
        <x:v>24</x:v>
      </x:c>
      <x:c r="C26" s="13" t="str">
        <x:v>ms/token</x:v>
      </x:c>
      <x:c r="D26" s="13" t="str">
        <x:v>HOUSE</x:v>
      </x:c>
    </x:row>
    <x:row r="27">
      <x:c r="A27" s="13" t="str">
        <x:v>TTFT SLO</x:v>
      </x:c>
      <x:c r="B27" s="22" t="n">
        <x:v>500</x:v>
      </x:c>
      <x:c r="C27" s="13" t="str">
        <x:v>ms</x:v>
      </x:c>
      <x:c r="D27" s="13" t="str">
        <x:v>HOUSE SLO</x:v>
      </x:c>
    </x:row>
    <x:row r="28">
      <x:c r="A28" s="13" t="str">
        <x:v>TPOT SLO</x:v>
      </x:c>
      <x:c r="B28" s="22" t="n">
        <x:v>30</x:v>
      </x:c>
      <x:c r="C28" s="13" t="str">
        <x:v>ms/token</x:v>
      </x:c>
      <x:c r="D28" s="13" t="str">
        <x:v>HOUSE SLO</x:v>
      </x:c>
    </x:row>
    <x:row r="29">
      <x:c r="A29" s="13" t="str">
        <x:v>Effective HBM bandwidth</x:v>
      </x:c>
      <x:c r="B29" s="22" t="n">
        <x:v>3</x:v>
      </x:c>
      <x:c r="C29" s="13" t="str">
        <x:v>TB/s</x:v>
      </x:c>
      <x:c r="D29" s="13" t="str">
        <x:v>HOUSE sustained bandwidth for teaching model</x:v>
      </x:c>
    </x:row>
    <x:row r="30">
      <x:c r="A30" s="13" t="str">
        <x:v>Decode sharing batch</x:v>
      </x:c>
      <x:c r="B30" s="22" t="n">
        <x:v>1</x:v>
      </x:c>
      <x:c r="C30" s="13" t="str">
        <x:v>tokens/weight stream</x:v>
      </x:c>
      <x:c r="D30" s="13" t="str">
        <x:v>Teaching abstraction</x:v>
      </x:c>
    </x:row>
    <x:row r="31">
      <x:c r="A31" s="13" t="str">
        <x:v>Extra quant-path overhead</x:v>
      </x:c>
      <x:c r="B31" s="22" t="n">
        <x:v>5</x:v>
      </x:c>
      <x:c r="C31" s="13" t="str">
        <x:v>ms/token</x:v>
      </x:c>
      <x:c r="D31" s="13" t="str">
        <x:v>dequant/unpack/kernel penalty teaching input</x:v>
      </x:c>
    </x:row>
    <x:row r="32">
      <x:c r="A32" s="13" t="str">
        <x:v>Input provenance</x:v>
      </x:c>
      <x:c r="B32" s="22" t="str">
        <x:v>SCENARIO</x:v>
      </x:c>
      <x:c r="C32" s="13" t="str"/>
      <x:c r="D32" s="13" t="str">
        <x:v>Set MEASURED only after replacing workload/perf/quality inputs with measured data</x:v>
      </x:c>
    </x:row>
    <x:row r="33">
      <x:c r="A33" s="13"/>
      <x:c r="B33" s="13"/>
      <x:c r="C33" s="13"/>
      <x:c r="D33" s="13"/>
    </x:row>
    <x:row r="34">
      <x:c r="A34" s="13" t="str">
        <x:v>Input state</x:v>
      </x:c>
      <x:c r="B34" s="31" t="str">
        <x:f>IF(OR(B2&lt;=0,B3&lt;=0,B4&lt;=0,B5&lt;=0,B6&lt;0,B7&lt;0,B8&lt;=0,B9&lt;=0,B10&lt;=0,B11&lt;=0,B12&lt;=0,B13&lt;=0,B14&lt;0,B15&lt;=0,B16&lt;=0,B16&gt;1,B17&lt;0,B18&lt;=0,B19&lt;=0,B20&lt;=0,B20&gt;1,B21&lt;=0,B21&gt;1,B22&lt;=0,B23&lt;0,B24&lt;0,B25&lt;0,B26&lt;0,B27&lt;=0,B28&lt;=0,B29&lt;=0,B30&lt;=0,B31&lt;0),"INVALID INPUT","PASS")</x:f>
        <x:v>PASS</x:v>
      </x:c>
      <x:c r="C34" s="13" t="str"/>
      <x:c r="D34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72" hidden="0" customWidth="1"/>
    <x:col min="7" max="7" width="16" hidden="0" customWidth="1"/>
    <x:col min="8" max="8" width="62" hidden="0" customWidth="1"/>
  </x:cols>
  <x:sheetData>
    <x:row r="1">
      <x:c r="A1" s="14" t="str">
        <x:v>GPU</x:v>
      </x:c>
      <x:c r="B1" s="14" t="str">
        <x:v>Architecture</x:v>
      </x:c>
      <x:c r="C1" s="14" t="str">
        <x:v>Memory GB</x:v>
      </x:c>
      <x:c r="D1" s="14" t="str">
        <x:v>HBM TB/s</x:v>
      </x:c>
      <x:c r="E1" s="14" t="str">
        <x:v>Relevant precisions</x:v>
      </x:c>
      <x:c r="F1" s="14" t="str">
        <x:v>Source</x:v>
      </x:c>
      <x:c r="G1" s="14" t="str">
        <x:v>Accessed</x:v>
      </x:c>
      <x:c r="H1" s="14" t="str">
        <x:v>Caveat</x:v>
      </x:c>
    </x:row>
    <x:row r="2">
      <x:c r="A2" s="13" t="str">
        <x:v>A100 80GB SXM</x:v>
      </x:c>
      <x:c r="B2" s="13" t="str">
        <x:v>Ampere</x:v>
      </x:c>
      <x:c r="C2" s="13" t="n">
        <x:v>80</x:v>
      </x:c>
      <x:c r="D2" s="13" t="n">
        <x:v>2.039</x:v>
      </x:c>
      <x:c r="E2" s="13" t="str">
        <x:v>BF16/FP16/INT8; no native FP8/FP4 Tensor Core entry on product spec</x:v>
      </x:c>
      <x:c r="F2" s="13" t="str">
        <x:v>https://www.nvidia.com/en-us/data-center/a100/</x:v>
      </x:c>
      <x:c r="G2" s="13" t="str">
        <x:v>2026-08-11</x:v>
      </x:c>
      <x:c r="H2" s="13" t="str">
        <x:v>INT4 may use framework/kernel paths; do not infer native FP4.</x:v>
      </x:c>
    </x:row>
    <x:row r="3">
      <x:c r="A3" s="13" t="str">
        <x:v>H100 SXM</x:v>
      </x:c>
      <x:c r="B3" s="13" t="str">
        <x:v>Hopper</x:v>
      </x:c>
      <x:c r="C3" s="13" t="n">
        <x:v>80</x:v>
      </x:c>
      <x:c r="D3" s="13" t="n">
        <x:v>3.35</x:v>
      </x:c>
      <x:c r="E3" s="13" t="str">
        <x:v>BF16/FP16/FP8/INT8</x:v>
      </x:c>
      <x:c r="F3" s="13" t="str">
        <x:v>https://www.nvidia.com/en-us/data-center/h100/</x:v>
      </x:c>
      <x:c r="G3" s="13" t="str">
        <x:v>2026-08-11</x:v>
      </x:c>
      <x:c r="H3" s="13" t="str">
        <x:v>Hopper Tensor Cores add FP8; no Blackwell FP4 support.</x:v>
      </x:c>
    </x:row>
    <x:row r="4">
      <x:c r="A4" s="13" t="str">
        <x:v>H200 SXM</x:v>
      </x:c>
      <x:c r="B4" s="13" t="str">
        <x:v>Hopper</x:v>
      </x:c>
      <x:c r="C4" s="13" t="n">
        <x:v>141</x:v>
      </x:c>
      <x:c r="D4" s="13" t="n">
        <x:v>4.8</x:v>
      </x:c>
      <x:c r="E4" s="13" t="str">
        <x:v>BF16/FP16/FP8/INT8</x:v>
      </x:c>
      <x:c r="F4" s="13" t="str">
        <x:v>https://www.nvidia.com/en-in/data-center/h200/</x:v>
      </x:c>
      <x:c r="G4" s="13" t="str">
        <x:v>2026-08-11</x:v>
      </x:c>
      <x:c r="H4" s="13" t="str">
        <x:v>141GB HBM3e, 4.8TB/s.</x:v>
      </x:c>
    </x:row>
    <x:row r="5">
      <x:c r="A5" s="13" t="str">
        <x:v>B200 (DGX B200)</x:v>
      </x:c>
      <x:c r="B5" s="13" t="str">
        <x:v>Blackwell</x:v>
      </x:c>
      <x:c r="C5" s="13" t="n">
        <x:v>180</x:v>
      </x:c>
      <x:c r="D5" s="13" t="n">
        <x:v>8</x:v>
      </x:c>
      <x:c r="E5" s="13" t="str">
        <x:v>BF16/FP16/FP8/FP6/FP4/INT8</x:v>
      </x:c>
      <x:c r="F5" s="13" t="str">
        <x:v>https://www.nvidia.com/en-au/data-center/dgx-b200/</x:v>
      </x:c>
      <x:c r="G5" s="13" t="str">
        <x:v>2026-08-11</x:v>
      </x:c>
      <x:c r="H5" s="13" t="str">
        <x:v>DGX B200 total 1,440GB and 64TB/s across 8 GPUs =&gt; 180GB and 8TB/s/GPU.</x:v>
      </x:c>
    </x:row>
    <x:row r="6">
      <x:c r="A6" s="13" t="str">
        <x:v>GB200 GPU (derived from Grace Blackwell Superchip)</x:v>
      </x:c>
      <x:c r="B6" s="13" t="str">
        <x:v>Blackwell</x:v>
      </x:c>
      <x:c r="C6" s="13" t="n">
        <x:v>186</x:v>
      </x:c>
      <x:c r="D6" s="13" t="n">
        <x:v>8</x:v>
      </x:c>
      <x:c r="E6" s="13" t="str">
        <x:v>BF16/FP16/FP8/FP6/NVFP4/INT8</x:v>
      </x:c>
      <x:c r="F6" s="13" t="str">
        <x:v>https://www.nvidia.com/en-in/data-center/gb200-nvl72/</x:v>
      </x:c>
      <x:c r="G6" s="13" t="str">
        <x:v>2026-08-11</x:v>
      </x:c>
      <x:c r="H6" s="13" t="str">
        <x:v>Superchip lists 372GB/16TB/s for 2 GPUs; per-GPU normalization 186GB/8TB/s. Current perf page may label GB200 192GB; do not mix without disclosure.</x:v>
      </x:c>
    </x:row>
    <x:row r="7">
      <x:c r="A7" s="13"/>
      <x:c r="B7" s="13"/>
      <x:c r="C7" s="13"/>
      <x:c r="D7" s="13"/>
      <x:c r="E7" s="13"/>
      <x:c r="F7" s="13"/>
      <x:c r="G7" s="13"/>
      <x:c r="H7" s="13"/>
    </x:row>
    <x:row r="8">
      <x:c r="A8" s="13"/>
      <x:c r="B8" s="13"/>
      <x:c r="C8" s="13"/>
      <x:c r="D8" s="13"/>
      <x:c r="E8" s="13"/>
      <x:c r="F8" s="13"/>
      <x:c r="G8" s="13"/>
      <x:c r="H8" s="1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76" hidden="0" customWidth="1"/>
  </x:cols>
  <x:sheetData>
    <x:row r="1">
      <x:c r="A1" s="10" t="str">
        <x:v>Format</x:v>
      </x:c>
      <x:c r="B1" s="10" t="str">
        <x:v>Base bits</x:v>
      </x:c>
      <x:c r="C1" s="10" t="str">
        <x:v>Group size</x:v>
      </x:c>
      <x:c r="D1" s="10" t="str">
        <x:v>Scale bits/group</x:v>
      </x:c>
      <x:c r="E1" s="10" t="str">
        <x:v>Effective bits/weight</x:v>
      </x:c>
      <x:c r="F1" s="10" t="str">
        <x:v>Status/caveat</x:v>
      </x:c>
    </x:row>
    <x:row r="2">
      <x:c r="A2" t="str">
        <x:v>BF16</x:v>
      </x:c>
      <x:c r="B2" t="n">
        <x:v>16</x:v>
      </x:c>
      <x:c r="C2" t="str"/>
      <x:c r="D2" t="str"/>
      <x:c r="E2" s="26" t="n">
        <x:f>B2</x:f>
        <x:v>16</x:v>
      </x:c>
      <x:c r="F2" t="str">
        <x:v>REFERENCE</x:v>
      </x:c>
    </x:row>
    <x:row r="3">
      <x:c r="A3" t="str">
        <x:v>W4A16 AWQ HOUSE</x:v>
      </x:c>
      <x:c r="B3" t="n">
        <x:v>4</x:v>
      </x:c>
      <x:c r="C3" t="n">
        <x:v>128</x:v>
      </x:c>
      <x:c r="D3" t="n">
        <x:v>16</x:v>
      </x:c>
      <x:c r="E3" s="26" t="n">
        <x:f>B3+D3/C3</x:f>
        <x:v>4.125</x:v>
      </x:c>
      <x:c r="F3" t="str">
        <x:v>HOUSE footprint only; serialized layout may differ</x:v>
      </x:c>
    </x:row>
    <x:row r="4">
      <x:c r="A4" t="str">
        <x:v>NVFP4 1D representation</x:v>
      </x:c>
      <x:c r="B4" t="n">
        <x:v>4</x:v>
      </x:c>
      <x:c r="C4" t="n">
        <x:v>16</x:v>
      </x:c>
      <x:c r="D4" t="n">
        <x:v>8</x:v>
      </x:c>
      <x:c r="E4" s="26" t="n">
        <x:f>B4+D4/C4</x:f>
        <x:v>4.5</x:v>
      </x:c>
      <x:c r="F4" t="str">
        <x:v>Observed 4-bit value + FP8 block scale/16; global scale negligible; default weights may use 2D scaling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8" hidden="0" customWidth="1"/>
  </x:cols>
  <x:sheetData>
    <x:row r="1">
      <x:c r="A1" s="10" t="str">
        <x:v>Memory calculation</x:v>
      </x:c>
      <x:c r="B1" s="10" t="str">
        <x:v>Higher precision</x:v>
      </x:c>
      <x:c r="C1" s="10" t="str">
        <x:v>Quantized</x:v>
      </x:c>
      <x:c r="D1" s="10" t="str">
        <x:v>Unit</x:v>
      </x:c>
    </x:row>
    <x:row r="2">
      <x:c r="A2" t="str">
        <x:v>Effective weight bits</x:v>
      </x:c>
      <x:c r="B2" s="26" t="n">
        <x:f>INPUTS!B3</x:f>
        <x:v>16</x:v>
      </x:c>
      <x:c r="C2" s="26" t="n">
        <x:f>INPUTS!B4+(INPUTS!B6+INPUTS!B7)/INPUTS!B5</x:f>
        <x:v>4.125</x:v>
      </x:c>
      <x:c r="D2" t="str">
        <x:v>bits/weight</x:v>
      </x:c>
    </x:row>
    <x:row r="3">
      <x:c r="A3" t="str">
        <x:v>Weight memory</x:v>
      </x:c>
      <x:c r="B3" s="26" t="n">
        <x:f>INPUTS!B2*1000000000*B2/8/1000000000</x:f>
        <x:v>140</x:v>
      </x:c>
      <x:c r="C3" s="26" t="n">
        <x:f>INPUTS!B2*1000000000*C2/8/1000000000</x:f>
        <x:v>36.09375</x:v>
      </x:c>
      <x:c r="D3" t="str">
        <x:v>GB</x:v>
      </x:c>
    </x:row>
    <x:row r="4">
      <x:c r="A4" t="str">
        <x:v>KV bytes/token/sequence</x:v>
      </x:c>
      <x:c r="B4" s="26" t="n">
        <x:f>2*INPUTS!B8*INPUTS!B9*INPUTS!B10*INPUTS!B11</x:f>
        <x:v>327680</x:v>
      </x:c>
      <x:c r="C4" s="26" t="n">
        <x:f>B4</x:f>
        <x:v>327680</x:v>
      </x:c>
      <x:c r="D4" t="str">
        <x:v>bytes/token</x:v>
      </x:c>
    </x:row>
    <x:row r="5">
      <x:c r="A5" t="str">
        <x:v>KV cache memory</x:v>
      </x:c>
      <x:c r="B5" s="26" t="n">
        <x:f>B4*INPUTS!B12*INPUTS!B13/1000000000</x:f>
        <x:v>10.73741824</x:v>
      </x:c>
      <x:c r="C5" s="26" t="n">
        <x:f>C4*INPUTS!B12*INPUTS!B13/1000000000</x:f>
        <x:v>10.73741824</x:v>
      </x:c>
      <x:c r="D5" t="str">
        <x:v>GB</x:v>
      </x:c>
    </x:row>
    <x:row r="6">
      <x:c r="A6" t="str">
        <x:v>Other runtime memory</x:v>
      </x:c>
      <x:c r="B6" s="26" t="n">
        <x:f>INPUTS!B14</x:f>
        <x:v>8</x:v>
      </x:c>
      <x:c r="C6" s="26" t="n">
        <x:f>INPUTS!B14</x:f>
        <x:v>8</x:v>
      </x:c>
      <x:c r="D6" t="str">
        <x:v>GB</x:v>
      </x:c>
    </x:row>
    <x:row r="7">
      <x:c r="A7" t="str">
        <x:v>Total required memory</x:v>
      </x:c>
      <x:c r="B7" s="26" t="n">
        <x:f>SUM(B3,B5,B6)</x:f>
        <x:v>158.73741824</x:v>
      </x:c>
      <x:c r="C7" s="26" t="n">
        <x:f>SUM(C3,C5,C6)</x:f>
        <x:v>54.83116824</x:v>
      </x:c>
      <x:c r="D7" t="str">
        <x:v>GB</x:v>
      </x:c>
    </x:row>
    <x:row r="8">
      <x:c r="A8" t="str">
        <x:v>Usable memory/GPU</x:v>
      </x:c>
      <x:c r="B8" s="26" t="n">
        <x:f>INPUTS!B15*INPUTS!B16</x:f>
        <x:v>126.9</x:v>
      </x:c>
      <x:c r="C8" s="26" t="n">
        <x:f>INPUTS!B15*INPUTS!B16</x:f>
        <x:v>126.9</x:v>
      </x:c>
      <x:c r="D8" t="str">
        <x:v>GB</x:v>
      </x:c>
    </x:row>
    <x:row r="9">
      <x:c r="A9" t="str">
        <x:v>Required GPUs</x:v>
      </x:c>
      <x:c r="B9" s="26" t="n">
        <x:f>IF(INPUTS!B34&lt;&gt;"PASS","",IF(B8&gt;0,ROUNDUP(B7/B8,0),""))</x:f>
        <x:v>2</x:v>
      </x:c>
      <x:c r="C9" s="26" t="n">
        <x:f>IF(INPUTS!B34&lt;&gt;"PASS","",IF(C8&gt;0,ROUNDUP(C7/C8,0),""))</x:f>
        <x:v>1</x:v>
      </x:c>
      <x:c r="D9" t="str">
        <x:v>GPUs</x:v>
      </x:c>
    </x:row>
    <x:row r="10">
      <x:c r="A10" t="str">
        <x:v>Memory reduction</x:v>
      </x:c>
      <x:c r="B10" s="26" t="n">
        <x:f>0</x:f>
        <x:v>0</x:v>
      </x:c>
      <x:c r="C10" s="28" t="n">
        <x:f>IF(B7&gt;0,1-C7/B7,"")</x:f>
        <x:v>0.6545794378670122</x:v>
      </x:c>
      <x:c r="D10" t="str">
        <x:v>ratio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68" hidden="0" customWidth="1"/>
  </x:cols>
  <x:sheetData>
    <x:row r="1">
      <x:c r="A1" s="10" t="str">
        <x:v>Kernel / traffic model</x:v>
      </x:c>
      <x:c r="B1" s="10" t="str">
        <x:v>Value</x:v>
      </x:c>
      <x:c r="C1" s="10" t="str">
        <x:v>Unit</x:v>
      </x:c>
      <x:c r="D1" s="10" t="str">
        <x:v>Meaning</x:v>
      </x:c>
    </x:row>
    <x:row r="2">
      <x:c r="A2" t="str">
        <x:v>Higher weight bytes</x:v>
      </x:c>
      <x:c r="B2" s="26" t="n">
        <x:f>MEMORY!B3</x:f>
        <x:v>140</x:v>
      </x:c>
      <x:c r="C2" t="str">
        <x:v>GB</x:v>
      </x:c>
      <x:c r="D2" t="str">
        <x:v>from MEMORY</x:v>
      </x:c>
    </x:row>
    <x:row r="3">
      <x:c r="A3" t="str">
        <x:v>Quant weight bytes</x:v>
      </x:c>
      <x:c r="B3" s="26" t="n">
        <x:f>MEMORY!C3</x:f>
        <x:v>36.09375</x:v>
      </x:c>
      <x:c r="C3" t="str">
        <x:v>GB</x:v>
      </x:c>
      <x:c r="D3" t="str">
        <x:v>from MEMORY</x:v>
      </x:c>
    </x:row>
    <x:row r="4">
      <x:c r="A4" t="str">
        <x:v>Effective HBM bandwidth</x:v>
      </x:c>
      <x:c r="B4" s="26" t="n">
        <x:f>INPUTS!B29</x:f>
        <x:v>3</x:v>
      </x:c>
      <x:c r="C4" t="str">
        <x:v>TB/s</x:v>
      </x:c>
      <x:c r="D4" t="str">
        <x:v>HOUSE/measured input</x:v>
      </x:c>
    </x:row>
    <x:row r="5">
      <x:c r="A5" t="str">
        <x:v>Decode sharing batch</x:v>
      </x:c>
      <x:c r="B5" s="26" t="n">
        <x:f>INPUTS!B30</x:f>
        <x:v>1</x:v>
      </x:c>
      <x:c r="C5" t="str">
        <x:v>tokens</x:v>
      </x:c>
      <x:c r="D5" t="str">
        <x:v>number of tokens sharing one weight stream</x:v>
      </x:c>
    </x:row>
    <x:row r="6">
      <x:c r="A6" t="str">
        <x:v>Higher weight-transfer time/token</x:v>
      </x:c>
      <x:c r="B6" s="26" t="n">
        <x:f>B2/B4/B5</x:f>
        <x:v>46.666666666666664</x:v>
      </x:c>
      <x:c r="C6" t="str">
        <x:v>ms/token</x:v>
      </x:c>
      <x:c r="D6" t="str">
        <x:v>D/B divided by batch</x:v>
      </x:c>
    </x:row>
    <x:row r="7">
      <x:c r="A7" t="str">
        <x:v>Quant weight-transfer time/token</x:v>
      </x:c>
      <x:c r="B7" s="26" t="n">
        <x:f>B3/B4/B5</x:f>
        <x:v>12.03125</x:v>
      </x:c>
      <x:c r="C7" t="str">
        <x:v>ms/token</x:v>
      </x:c>
      <x:c r="D7" t="str">
        <x:v>D/B divided by batch</x:v>
      </x:c>
    </x:row>
    <x:row r="8">
      <x:c r="A8" t="str">
        <x:v>Saved transfer time</x:v>
      </x:c>
      <x:c r="B8" s="26" t="n">
        <x:f>B6-B7</x:f>
        <x:v>34.635416666666664</x:v>
      </x:c>
      <x:c r="C8" t="str">
        <x:v>ms/token</x:v>
      </x:c>
      <x:c r="D8" t="str">
        <x:v>higher - quant</x:v>
      </x:c>
    </x:row>
    <x:row r="9">
      <x:c r="A9" t="str">
        <x:v>Extra quant path overhead</x:v>
      </x:c>
      <x:c r="B9" s="26" t="n">
        <x:f>INPUTS!B31</x:f>
        <x:v>5</x:v>
      </x:c>
      <x:c r="C9" t="str">
        <x:v>ms/token</x:v>
      </x:c>
      <x:c r="D9" t="str">
        <x:v>dequant/unpack/conversion/kernel penalty</x:v>
      </x:c>
    </x:row>
    <x:row r="10">
      <x:c r="A10" t="str">
        <x:v>Net time saving</x:v>
      </x:c>
      <x:c r="B10" s="26" t="n">
        <x:f>B8-B9</x:f>
        <x:v>29.635416666666664</x:v>
      </x:c>
      <x:c r="C10" t="str">
        <x:v>ms/token</x:v>
      </x:c>
      <x:c r="D10" t="str">
        <x:v>saved - overhead</x:v>
      </x:c>
    </x:row>
    <x:row r="11">
      <x:c r="A11" t="str">
        <x:v>Teaching speed verdict</x:v>
      </x:c>
      <x:c r="B11" s="26" t="str">
        <x:f>IF(B10&gt;0,"QUANT TRAFFIC PATH FASTER","OVERHEAD ERASES TRAFFIC SAVING")</x:f>
        <x:v>QUANT TRAFFIC PATH FASTER</x:v>
      </x:c>
      <x:c r="C11" t="str"/>
      <x:c r="D11" t="str">
        <x:v>traffic-only comparison; not full kernel benchmark</x:v>
      </x:c>
    </x:row>
    <x:row r="12">
      <x:c r="A12" t="str">
        <x:v>Arithmetic intensity</x:v>
      </x:c>
      <x:c r="B12" t="str"/>
      <x:c r="C12" t="str">
        <x:v>FLOP/byte</x:v>
      </x:c>
      <x:c r="D12" t="str">
        <x:v>optional buyer input not modeled by default</x:v>
      </x:c>
    </x:row>
    <x:row r="13">
      <x:c r="A13" t="str">
        <x:v>Roofline note</x:v>
      </x:c>
      <x:c r="B13" t="str"/>
      <x:c r="C13" t="str"/>
      <x:c r="D13" t="str">
        <x:v>Performance &lt;= min(Fmax, B_eff * I); actual kernel throughput required for production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0" t="str">
        <x:v>SLO</x:v>
      </x:c>
      <x:c r="B1" s="10" t="str">
        <x:v>Higher precision</x:v>
      </x:c>
      <x:c r="C1" s="10" t="str">
        <x:v>Quantized</x:v>
      </x:c>
      <x:c r="D1" s="10" t="str">
        <x:v>Requirement</x:v>
      </x:c>
    </x:row>
    <x:row r="2">
      <x:c r="A2" t="str">
        <x:v>p95 TTFT</x:v>
      </x:c>
      <x:c r="B2" s="26" t="n">
        <x:f>INPUTS!B23</x:f>
        <x:v>420</x:v>
      </x:c>
      <x:c r="C2" s="26" t="n">
        <x:f>INPUTS!B24</x:f>
        <x:v>360</x:v>
      </x:c>
      <x:c r="D2" t="n">
        <x:f>INPUTS!B27</x:f>
        <x:v>500</x:v>
      </x:c>
    </x:row>
    <x:row r="3">
      <x:c r="A3" t="str">
        <x:v>p95 TPOT</x:v>
      </x:c>
      <x:c r="B3" s="26" t="n">
        <x:f>INPUTS!B25</x:f>
        <x:v>28</x:v>
      </x:c>
      <x:c r="C3" s="26" t="n">
        <x:f>INPUTS!B26</x:f>
        <x:v>24</x:v>
      </x:c>
      <x:c r="D3" t="n">
        <x:f>INPUTS!B28</x:f>
        <x:v>30</x:v>
      </x:c>
    </x:row>
    <x:row r="4">
      <x:c r="A4" t="str">
        <x:v>TTFT pass</x:v>
      </x:c>
      <x:c r="B4" s="26" t="str">
        <x:f>IF(B2&lt;=D2,"PASS","FAIL")</x:f>
        <x:v>PASS</x:v>
      </x:c>
      <x:c r="C4" s="26" t="str">
        <x:f>IF(C2&lt;=D2,"PASS","FAIL")</x:f>
        <x:v>PASS</x:v>
      </x:c>
      <x:c r="D4" t="str"/>
    </x:row>
    <x:row r="5">
      <x:c r="A5" t="str">
        <x:v>TPOT pass</x:v>
      </x:c>
      <x:c r="B5" s="26" t="str">
        <x:f>IF(B3&lt;=D3,"PASS","FAIL")</x:f>
        <x:v>PASS</x:v>
      </x:c>
      <x:c r="C5" s="26" t="str">
        <x:f>IF(C3&lt;=D3,"PASS","FAIL")</x:f>
        <x:v>PASS</x:v>
      </x:c>
      <x:c r="D5" t="str"/>
    </x:row>
    <x:row r="6">
      <x:c r="A6" t="str">
        <x:v>Overall SLO feasible</x:v>
      </x:c>
      <x:c r="B6" s="26" t="str">
        <x:f>IF(AND(B4="PASS",B5="PASS"),"FEASIBLE","INFEASIBLE")</x:f>
        <x:v>FEASIBLE</x:v>
      </x:c>
      <x:c r="C6" s="26" t="str">
        <x:f>IF(AND(C4="PASS",C5="PASS"),"FEASIBLE","INFEASIBLE")</x:f>
        <x:v>FEASIBLE</x:v>
      </x:c>
      <x:c r="D6" t="str">
        <x:v>Both latency conditions must pass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58" hidden="0" customWidth="1"/>
    <x:col min="4" max="4" width="72" hidden="0" customWidth="1"/>
  </x:cols>
  <x:sheetData>
    <x:row r="1">
      <x:c r="A1" s="14" t="str">
        <x:v>Quality economics</x:v>
      </x:c>
      <x:c r="B1" s="14" t="str">
        <x:v>Higher precision</x:v>
      </x:c>
      <x:c r="C1" s="14" t="str">
        <x:v>Quantized</x:v>
      </x:c>
      <x:c r="D1" s="14" t="str">
        <x:v>Meaning</x:v>
      </x:c>
    </x:row>
    <x:row r="2">
      <x:c r="A2" s="13" t="str">
        <x:v>Task success q</x:v>
      </x:c>
      <x:c r="B2" s="33" t="n">
        <x:f>INPUTS!B20</x:f>
        <x:v>0.99</x:v>
      </x:c>
      <x:c r="C2" s="33" t="n">
        <x:f>INPUTS!B21</x:f>
        <x:v>0.975</x:v>
      </x:c>
      <x:c r="D2" s="13" t="str">
        <x:v>probability</x:v>
      </x:c>
    </x:row>
    <x:row r="3">
      <x:c r="A3" s="13" t="str">
        <x:v>Attempt cost</x:v>
      </x:c>
      <x:c r="B3" s="32" t="n">
        <x:f>ECONOMICS!B8</x:f>
        <x:v>0.005171717171717172</x:v>
      </x:c>
      <x:c r="C3" s="32" t="n">
        <x:f>ECONOMICS!C8</x:f>
        <x:v>0.0035555555555555557</x:v>
      </x:c>
      <x:c r="D3" s="13" t="str">
        <x:v>from ECONOMICS</x:v>
      </x:c>
    </x:row>
    <x:row r="4">
      <x:c r="A4" s="13" t="str">
        <x:v>Cost / successful task</x:v>
      </x:c>
      <x:c r="B4" s="32" t="n">
        <x:f>IF(B2&gt;0,B3/B2,"")</x:f>
        <x:v>0.005223956739108255</x:v>
      </x:c>
      <x:c r="C4" s="32" t="n">
        <x:f>IF(C2&gt;0,C3/C2,"")</x:f>
        <x:v>0.003646723646723647</x:v>
      </x:c>
      <x:c r="D4" s="13" t="str">
        <x:v>attempt/q</x:v>
      </x:c>
    </x:row>
    <x:row r="5">
      <x:c r="A5" s="13" t="str">
        <x:v>Quant quality break-even</x:v>
      </x:c>
      <x:c r="B5" s="32" t="str"/>
      <x:c r="C5" s="33" t="n">
        <x:f>IF(B3&gt;0,B2*C3/B3,"")</x:f>
        <x:v>0.680625</x:v>
      </x:c>
      <x:c r="D5" s="13" t="str">
        <x:v>minimum q_quant for quant path to beat high precision</x:v>
      </x:c>
    </x:row>
    <x:row r="6">
      <x:c r="A6" s="13" t="str">
        <x:v>Quality ratio q_quant/q_high</x:v>
      </x:c>
      <x:c r="B6" s="32" t="str"/>
      <x:c r="C6" s="33" t="n">
        <x:f>IF(B2&gt;0,C2/B2,"")</x:f>
        <x:v>0.9848484848484849</x:v>
      </x:c>
      <x:c r="D6" s="13" t="str"/>
    </x:row>
    <x:row r="7">
      <x:c r="A7" s="13" t="str">
        <x:v>Cost ratio C_quant/C_high</x:v>
      </x:c>
      <x:c r="B7" s="32" t="str"/>
      <x:c r="C7" s="32" t="n">
        <x:f>IF(B3&gt;0,C3/B3,"")</x:f>
        <x:v>0.6875</x:v>
      </x:c>
      <x:c r="D7" s="13" t="str"/>
    </x:row>
    <x:row r="8" ht="34" customHeight="1">
      <x:c r="A8" s="13" t="str">
        <x:v>Economic verdict</x:v>
      </x:c>
      <x:c r="B8" s="32" t="str"/>
      <x:c r="C8" s="32" t="str">
        <x:f>IF(INPUTS!B32&lt;&gt;"MEASURED","HOUSE SCENARIO — MEASURED PERF + QUALITY REQUIRED",IF(AND(C4&lt;B4,SLO!C6="FEASIBLE"),"QUANT ECONOMIC WIN","QUANT NOT PROVEN BETTER"))</x:f>
        <x:v>HOUSE SCENARIO — MEASURED PERF + QUALITY REQUIRED</x:v>
      </x:c>
      <x:c r="D8" s="13" t="str">
        <x:v>requires SLO feasible + lower cost/success</x:v>
      </x:c>
    </x:row>
    <x:row r="9">
      <x:c r="A9" s="13" t="str">
        <x:v>Fallback extension</x:v>
      </x:c>
      <x:c r="B9" s="13" t="str"/>
      <x:c r="C9" s="13" t="str"/>
      <x:c r="D9" s="13" t="str">
        <x:v>E[C]=Cq+(1-q_q)Cf; with fallback success include overall success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70" hidden="0" customWidth="1"/>
  </x:cols>
  <x:sheetData>
    <x:row r="1">
      <x:c r="A1" s="10" t="str">
        <x:v>GPU count economics</x:v>
      </x:c>
      <x:c r="B1" s="10" t="str">
        <x:v>Higher precision</x:v>
      </x:c>
      <x:c r="C1" s="10" t="str">
        <x:v>Quantized</x:v>
      </x:c>
      <x:c r="D1" s="10" t="str">
        <x:v>Note</x:v>
      </x:c>
    </x:row>
    <x:row r="2">
      <x:c r="A2" t="str">
        <x:v>Required memory</x:v>
      </x:c>
      <x:c r="B2" s="26" t="n">
        <x:f>MEMORY!B7</x:f>
        <x:v>158.73741824</x:v>
      </x:c>
      <x:c r="C2" s="26" t="n">
        <x:f>MEMORY!C7</x:f>
        <x:v>54.83116824</x:v>
      </x:c>
      <x:c r="D2" t="str"/>
    </x:row>
    <x:row r="3">
      <x:c r="A3" t="str">
        <x:v>Usable memory/GPU</x:v>
      </x:c>
      <x:c r="B3" s="26" t="n">
        <x:f>MEMORY!B8</x:f>
        <x:v>126.9</x:v>
      </x:c>
      <x:c r="C3" s="26" t="n">
        <x:f>MEMORY!C8</x:f>
        <x:v>126.9</x:v>
      </x:c>
      <x:c r="D3" t="str"/>
    </x:row>
    <x:row r="4">
      <x:c r="A4" t="str">
        <x:v>Required GPUs</x:v>
      </x:c>
      <x:c r="B4" s="26" t="n">
        <x:f>MEMORY!B9</x:f>
        <x:v>2</x:v>
      </x:c>
      <x:c r="C4" s="26" t="n">
        <x:f>MEMORY!C9</x:f>
        <x:v>1</x:v>
      </x:c>
      <x:c r="D4" t="str">
        <x:v>ceiling function</x:v>
      </x:c>
    </x:row>
    <x:row r="5">
      <x:c r="A5" t="str">
        <x:v>Replica hourly cost</x:v>
      </x:c>
      <x:c r="B5" s="26" t="n">
        <x:f>B4*INPUTS!B17</x:f>
        <x:v>8</x:v>
      </x:c>
      <x:c r="C5" s="26" t="n">
        <x:f>C4*INPUTS!B17</x:f>
        <x:v>4</x:v>
      </x:c>
      <x:c r="D5" t="str">
        <x:v>GPU count * GPU hourly cost</x:v>
      </x:c>
    </x:row>
    <x:row r="6">
      <x:c r="A6" t="str">
        <x:v>GPU-count ratio</x:v>
      </x:c>
      <x:c r="B6" s="26" t="str"/>
      <x:c r="C6" s="26" t="n">
        <x:f>IF(B4&gt;0,C4/B4,"")</x:f>
        <x:v>0.5</x:v>
      </x:c>
      <x:c r="D6" t="str">
        <x:v>Gq/Gh</x:v>
      </x:c>
    </x:row>
    <x:row r="7">
      <x:c r="A7" t="str">
        <x:v>Discrete saving?</x:v>
      </x:c>
      <x:c r="B7" s="26" t="str"/>
      <x:c r="C7" s="26" t="str">
        <x:f>IF(C4&lt;B4,"YES","NO")</x:f>
        <x:v>YES</x:v>
      </x:c>
      <x:c r="D7" t="str">
        <x:v>YES when quant crosses a lower GPU count</x:v>
      </x:c>
    </x:row>
    <x:row r="8">
      <x:c r="A8" t="str">
        <x:v>Warning</x:v>
      </x:c>
      <x:c r="B8" t="str"/>
      <x:c r="C8" t="str"/>
      <x:c r="D8" t="str">
        <x:v>Same precision change can have different economics on a different GPU capacity.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0" t="str">
        <x:v>Serving economics</x:v>
      </x:c>
      <x:c r="B1" s="10" t="str">
        <x:v>Higher precision</x:v>
      </x:c>
      <x:c r="C1" s="10" t="str">
        <x:v>Quantized</x:v>
      </x:c>
      <x:c r="D1" s="10" t="str">
        <x:v>Unit</x:v>
      </x:c>
    </x:row>
    <x:row r="2">
      <x:c r="A2" t="str">
        <x:v>GPU count</x:v>
      </x:c>
      <x:c r="B2" s="26" t="n">
        <x:f>GPU_COUNT!B4</x:f>
        <x:v>2</x:v>
      </x:c>
      <x:c r="C2" s="26" t="n">
        <x:f>GPU_COUNT!C4</x:f>
        <x:v>1</x:v>
      </x:c>
      <x:c r="D2" t="str">
        <x:v>GPUs</x:v>
      </x:c>
    </x:row>
    <x:row r="3">
      <x:c r="A3" t="str">
        <x:v>GPU hourly cost</x:v>
      </x:c>
      <x:c r="B3" s="26" t="n">
        <x:f>INPUTS!B17</x:f>
        <x:v>4</x:v>
      </x:c>
      <x:c r="C3" s="26" t="n">
        <x:f>INPUTS!B17</x:f>
        <x:v>4</x:v>
      </x:c>
      <x:c r="D3" t="str">
        <x:v>USD/GPU-hour</x:v>
      </x:c>
    </x:row>
    <x:row r="4">
      <x:c r="A4" t="str">
        <x:v>Replica cost/hour</x:v>
      </x:c>
      <x:c r="B4" s="26" t="n">
        <x:f>B2*B3</x:f>
        <x:v>8</x:v>
      </x:c>
      <x:c r="C4" s="26" t="n">
        <x:f>C2*C3</x:f>
        <x:v>4</x:v>
      </x:c>
      <x:c r="D4" t="str">
        <x:v>USD/hour</x:v>
      </x:c>
    </x:row>
    <x:row r="5">
      <x:c r="A5" t="str">
        <x:v>Output throughput</x:v>
      </x:c>
      <x:c r="B5" s="26" t="n">
        <x:f>INPUTS!B18</x:f>
        <x:v>110</x:v>
      </x:c>
      <x:c r="C5" s="26" t="n">
        <x:f>INPUTS!B19</x:f>
        <x:v>80</x:v>
      </x:c>
      <x:c r="D5" t="str">
        <x:v>tokens/s</x:v>
      </x:c>
    </x:row>
    <x:row r="6">
      <x:c r="A6" t="str">
        <x:v>Cost / 1M output tokens</x:v>
      </x:c>
      <x:c r="B6" s="26" t="n">
        <x:f>IF(AND(INPUTS!B34="PASS",B5&gt;0),B4/(3600*B5)*1000000,"")</x:f>
        <x:v>20.202020202020204</x:v>
      </x:c>
      <x:c r="C6" s="26" t="n">
        <x:f>IF(AND(INPUTS!B34="PASS",C5&gt;0),C4/(3600*C5)*1000000,"")</x:f>
        <x:v>13.88888888888889</x:v>
      </x:c>
      <x:c r="D6" t="str">
        <x:v>USD/MTok</x:v>
      </x:c>
    </x:row>
    <x:row r="7">
      <x:c r="A7" t="str">
        <x:v>Output tokens/request</x:v>
      </x:c>
      <x:c r="B7" s="26" t="n">
        <x:f>INPUTS!B22</x:f>
        <x:v>256</x:v>
      </x:c>
      <x:c r="C7" s="26" t="n">
        <x:f>INPUTS!B22</x:f>
        <x:v>256</x:v>
      </x:c>
      <x:c r="D7" t="str">
        <x:v>tokens/request</x:v>
      </x:c>
    </x:row>
    <x:row r="8">
      <x:c r="A8" t="str">
        <x:v>Cost / request</x:v>
      </x:c>
      <x:c r="B8" s="26" t="n">
        <x:f>B6/1000000*B7</x:f>
        <x:v>0.005171717171717172</x:v>
      </x:c>
      <x:c r="C8" s="26" t="n">
        <x:f>C6/1000000*C7</x:f>
        <x:v>0.0035555555555555557</x:v>
      </x:c>
      <x:c r="D8" t="str">
        <x:v>USD/request</x:v>
      </x:c>
    </x:row>
    <x:row r="9">
      <x:c r="A9" t="str">
        <x:v>Raw cost reduction</x:v>
      </x:c>
      <x:c r="B9" s="26" t="str"/>
      <x:c r="C9" s="28" t="n">
        <x:f>IF(B8&gt;0,1-C8/B8,"")</x:f>
        <x:v>0.3125</x:v>
      </x:c>
      <x:c r="D9" t="str">
        <x:v>ratio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>
      <x:c r="A1" s="14" t="str">
        <x:v>Scenario</x:v>
      </x:c>
      <x:c r="B1" s="14" t="str">
        <x:v>Params B</x:v>
      </x:c>
      <x:c r="C1" s="14" t="str">
        <x:v>Context</x:v>
      </x:c>
      <x:c r="D1" s="14" t="str">
        <x:v>Conc</x:v>
      </x:c>
      <x:c r="E1" s="14" t="str">
        <x:v>GPU</x:v>
      </x:c>
      <x:c r="F1" s="14" t="str">
        <x:v>High precision</x:v>
      </x:c>
      <x:c r="G1" s="14" t="str">
        <x:v>Quant</x:v>
      </x:c>
      <x:c r="H1" s="14" t="str">
        <x:v>High total GB</x:v>
      </x:c>
      <x:c r="I1" s="14" t="str">
        <x:v>Quant total GB</x:v>
      </x:c>
      <x:c r="J1" s="14" t="str">
        <x:v>G_high</x:v>
      </x:c>
      <x:c r="K1" s="14" t="str">
        <x:v>G_quant</x:v>
      </x:c>
      <x:c r="L1" s="14" t="str">
        <x:v>R_high tok/s</x:v>
      </x:c>
      <x:c r="M1" s="14" t="str">
        <x:v>R_quant tok/s</x:v>
      </x:c>
      <x:c r="N1" s="14" t="str">
        <x:v>Cost/MTok high</x:v>
      </x:c>
      <x:c r="O1" s="14" t="str">
        <x:v>Cost/MTok quant</x:v>
      </x:c>
      <x:c r="P1" s="14" t="str">
        <x:v>q_high</x:v>
      </x:c>
      <x:c r="Q1" s="14" t="str">
        <x:v>q_quant</x:v>
      </x:c>
      <x:c r="R1" s="14" t="str">
        <x:v>Cost/success high</x:v>
      </x:c>
      <x:c r="S1" s="14" t="str">
        <x:v>Cost/success quant</x:v>
      </x:c>
      <x:c r="T1" s="14" t="str">
        <x:v>q_quant break-even</x:v>
      </x:c>
      <x:c r="U1" s="14" t="str">
        <x:v>Status</x:v>
      </x:c>
    </x:row>
    <x:row r="2">
      <x:c r="A2" s="13" t="str">
        <x:v>A_INTERACTIVE_70B_H200</x:v>
      </x:c>
      <x:c r="B2" s="13" t="n">
        <x:v>70</x:v>
      </x:c>
      <x:c r="C2" s="13" t="n">
        <x:v>4096</x:v>
      </x:c>
      <x:c r="D2" s="13" t="n">
        <x:v>8</x:v>
      </x:c>
      <x:c r="E2" s="13" t="str">
        <x:v>H200</x:v>
      </x:c>
      <x:c r="F2" s="13" t="str">
        <x:v>BF16</x:v>
      </x:c>
      <x:c r="G2" s="13" t="str">
        <x:v>W4A16 AWQ</x:v>
      </x:c>
      <x:c r="H2" s="13" t="n">
        <x:v>158.73741824</x:v>
      </x:c>
      <x:c r="I2" s="13" t="n">
        <x:v>54.83116824</x:v>
      </x:c>
      <x:c r="J2" s="13" t="n">
        <x:v>2</x:v>
      </x:c>
      <x:c r="K2" s="13" t="n">
        <x:v>1</x:v>
      </x:c>
      <x:c r="L2" s="13" t="n">
        <x:v>110</x:v>
      </x:c>
      <x:c r="M2" s="13" t="n">
        <x:v>80</x:v>
      </x:c>
      <x:c r="N2" s="13" t="n">
        <x:v>20.202020202020204</x:v>
      </x:c>
      <x:c r="O2" s="13" t="n">
        <x:v>13.88888888888889</x:v>
      </x:c>
      <x:c r="P2" s="13" t="n">
        <x:v>0.99</x:v>
      </x:c>
      <x:c r="Q2" s="13" t="n">
        <x:v>0.975</x:v>
      </x:c>
      <x:c r="R2" s="13" t="n">
        <x:v>0.005223956739108255</x:v>
      </x:c>
      <x:c r="S2" s="13" t="n">
        <x:v>0.003646723646723647</x:v>
      </x:c>
      <x:c r="T2" s="13" t="n">
        <x:v>0.680625</x:v>
      </x:c>
      <x:c r="U2" s="13" t="str">
        <x:v>HOUSE ASSUMPTION / DERIVED RESULT</x:v>
      </x:c>
    </x:row>
    <x:row r="3">
      <x:c r="A3" s="13" t="str">
        <x:v>B_THROUGHPUT_32B_H200</x:v>
      </x:c>
      <x:c r="B3" s="13" t="n">
        <x:v>32</x:v>
      </x:c>
      <x:c r="C3" s="13" t="n">
        <x:v>2048</x:v>
      </x:c>
      <x:c r="D3" s="13" t="n">
        <x:v>32</x:v>
      </x:c>
      <x:c r="E3" s="13" t="str">
        <x:v>H200</x:v>
      </x:c>
      <x:c r="F3" s="13" t="str">
        <x:v>BF16</x:v>
      </x:c>
      <x:c r="G3" s="13" t="str">
        <x:v>W4A16 AWQ</x:v>
      </x:c>
      <x:c r="H3" s="13" t="n">
        <x:v>93.179869184</x:v>
      </x:c>
      <x:c r="I3" s="13" t="n">
        <x:v>45.679869184</x:v>
      </x:c>
      <x:c r="J3" s="13" t="n">
        <x:v>1</x:v>
      </x:c>
      <x:c r="K3" s="13" t="n">
        <x:v>1</x:v>
      </x:c>
      <x:c r="L3" s="13" t="n">
        <x:v>650</x:v>
      </x:c>
      <x:c r="M3" s="13" t="n">
        <x:v>715</x:v>
      </x:c>
      <x:c r="N3" s="13" t="n">
        <x:v>1.7094017094017095</x:v>
      </x:c>
      <x:c r="O3" s="13" t="n">
        <x:v>1.5540015540015542</x:v>
      </x:c>
      <x:c r="P3" s="13" t="n">
        <x:v>0.99</x:v>
      </x:c>
      <x:c r="Q3" s="13" t="n">
        <x:v>0.975</x:v>
      </x:c>
      <x:c r="R3" s="13" t="n">
        <x:v>0.0008840542173875508</x:v>
      </x:c>
      <x:c r="S3" s="13" t="n">
        <x:v>0.0008160500468192776</x:v>
      </x:c>
      <x:c r="T3" s="13" t="n">
        <x:v>0.8999999999999999</x:v>
      </x:c>
      <x:c r="U3" s="13" t="str">
        <x:v>HOUSE ASSUMPTION / DERIVED RESULT</x:v>
      </x:c>
    </x:row>
    <x:row r="4">
      <x:c r="A4" s="13" t="str">
        <x:v>C_LONG_CONTEXT_70B_H200</x:v>
      </x:c>
      <x:c r="B4" s="13" t="n">
        <x:v>70</x:v>
      </x:c>
      <x:c r="C4" s="13" t="n">
        <x:v>32768</x:v>
      </x:c>
      <x:c r="D4" s="13" t="n">
        <x:v>8</x:v>
      </x:c>
      <x:c r="E4" s="13" t="str">
        <x:v>H200</x:v>
      </x:c>
      <x:c r="F4" s="13" t="str">
        <x:v>BF16</x:v>
      </x:c>
      <x:c r="G4" s="13" t="str">
        <x:v>W4A16 AWQ</x:v>
      </x:c>
      <x:c r="H4" s="13" t="n">
        <x:v>235.89934592</x:v>
      </x:c>
      <x:c r="I4" s="13" t="n">
        <x:v>131.99309592</x:v>
      </x:c>
      <x:c r="J4" s="13" t="n">
        <x:v>2</x:v>
      </x:c>
      <x:c r="K4" s="13" t="n">
        <x:v>2</x:v>
      </x:c>
      <x:c r="L4" s="13" t="n">
        <x:v>120</x:v>
      </x:c>
      <x:c r="M4" s="13" t="n">
        <x:v>150</x:v>
      </x:c>
      <x:c r="N4" s="13" t="n">
        <x:v>18.51851851851852</x:v>
      </x:c>
      <x:c r="O4" s="13" t="n">
        <x:v>14.814814814814815</x:v>
      </x:c>
      <x:c r="P4" s="13" t="n">
        <x:v>0.99</x:v>
      </x:c>
      <x:c r="Q4" s="13" t="n">
        <x:v>0.975</x:v>
      </x:c>
      <x:c r="R4" s="13" t="n">
        <x:v>0.019154508043396933</x:v>
      </x:c>
      <x:c r="S4" s="13" t="n">
        <x:v>0.015559354226020894</x:v>
      </x:c>
      <x:c r="T4" s="13" t="n">
        <x:v>0.792</x:v>
      </x:c>
      <x:c r="U4" s="13" t="str">
        <x:v>HOUSE ASSUMPTION / DERIVED RESULT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0" t="str">
        <x:v>Throughput gain</x:v>
      </x:c>
      <x:c r="B1" s="10" t="str">
        <x:v>GPU cost ratio Gq/Gh</x:v>
      </x:c>
      <x:c r="C1" s="10" t="str">
        <x:v>Minimum q_quant/q_high</x:v>
      </x:c>
      <x:c r="D1" s="10" t="str">
        <x:v>Example q_high</x:v>
      </x:c>
      <x:c r="E1" s="10" t="str">
        <x:v>Minimum q_quant</x:v>
      </x:c>
      <x:c r="F1" s="10" t="str">
        <x:v>Economic interpretation</x:v>
      </x:c>
    </x:row>
    <x:row r="2">
      <x:c r="A2" t="n">
        <x:v>0.8</x:v>
      </x:c>
      <x:c r="B2" t="n">
        <x:v>1</x:v>
      </x:c>
      <x:c r="C2" s="26" t="n">
        <x:f>B2/A2</x:f>
        <x:v>1.25</x:v>
      </x:c>
      <x:c r="D2" s="26" t="n">
        <x:v>0.99</x:v>
      </x:c>
      <x:c r="E2" s="26" t="n">
        <x:f>C2*D2</x:f>
        <x:v>1.2375</x:v>
      </x:c>
      <x:c r="F2" s="26" t="str">
        <x:f>IF(E2&gt;1,"IMPOSSIBLE WITHOUT OTHER SAVING","q_quant must exceed threshold")</x:f>
        <x:v>IMPOSSIBLE WITHOUT OTHER SAVING</x:v>
      </x:c>
    </x:row>
    <x:row r="3">
      <x:c r="A3" t="n">
        <x:v>1</x:v>
      </x:c>
      <x:c r="B3" t="n">
        <x:v>1</x:v>
      </x:c>
      <x:c r="C3" s="26" t="n">
        <x:f>B3/A3</x:f>
        <x:v>1</x:v>
      </x:c>
      <x:c r="D3" s="26" t="n">
        <x:v>0.99</x:v>
      </x:c>
      <x:c r="E3" s="26" t="n">
        <x:f>C3*D3</x:f>
        <x:v>0.99</x:v>
      </x:c>
      <x:c r="F3" s="26" t="str">
        <x:f>IF(E3&gt;1,"IMPOSSIBLE WITHOUT OTHER SAVING","q_quant must exceed threshold")</x:f>
        <x:v>q_quant must exceed threshold</x:v>
      </x:c>
    </x:row>
    <x:row r="4">
      <x:c r="A4" t="n">
        <x:v>1.1</x:v>
      </x:c>
      <x:c r="B4" t="n">
        <x:v>1</x:v>
      </x:c>
      <x:c r="C4" s="26" t="n">
        <x:f>B4/A4</x:f>
        <x:v>0.9090909090909091</x:v>
      </x:c>
      <x:c r="D4" s="26" t="n">
        <x:v>0.99</x:v>
      </x:c>
      <x:c r="E4" s="26" t="n">
        <x:f>C4*D4</x:f>
        <x:v>0.8999999999999999</x:v>
      </x:c>
      <x:c r="F4" s="26" t="str">
        <x:f>IF(E4&gt;1,"IMPOSSIBLE WITHOUT OTHER SAVING","q_quant must exceed threshold")</x:f>
        <x:v>q_quant must exceed threshold</x:v>
      </x:c>
    </x:row>
    <x:row r="5">
      <x:c r="A5" t="n">
        <x:v>1.25</x:v>
      </x:c>
      <x:c r="B5" t="n">
        <x:v>1</x:v>
      </x:c>
      <x:c r="C5" s="26" t="n">
        <x:f>B5/A5</x:f>
        <x:v>0.8</x:v>
      </x:c>
      <x:c r="D5" s="26" t="n">
        <x:v>0.99</x:v>
      </x:c>
      <x:c r="E5" s="26" t="n">
        <x:f>C5*D5</x:f>
        <x:v>0.792</x:v>
      </x:c>
      <x:c r="F5" s="26" t="str">
        <x:f>IF(E5&gt;1,"IMPOSSIBLE WITHOUT OTHER SAVING","q_quant must exceed threshold")</x:f>
        <x:v>q_quant must exceed threshold</x:v>
      </x:c>
    </x:row>
    <x:row r="6">
      <x:c r="A6" t="n">
        <x:v>1.5</x:v>
      </x:c>
      <x:c r="B6" t="n">
        <x:v>1</x:v>
      </x:c>
      <x:c r="C6" s="26" t="n">
        <x:f>B6/A6</x:f>
        <x:v>0.6666666666666666</x:v>
      </x:c>
      <x:c r="D6" s="26" t="n">
        <x:v>0.99</x:v>
      </x:c>
      <x:c r="E6" s="26" t="n">
        <x:f>C6*D6</x:f>
        <x:v>0.6599999999999999</x:v>
      </x:c>
      <x:c r="F6" s="26" t="str">
        <x:f>IF(E6&gt;1,"IMPOSSIBLE WITHOUT OTHER SAVING","q_quant must exceed threshold")</x:f>
        <x:v>q_quant must exceed threshold</x:v>
      </x:c>
    </x:row>
    <x:row r="7">
      <x:c r="A7" t="n">
        <x:v>2</x:v>
      </x:c>
      <x:c r="B7" t="n">
        <x:v>1</x:v>
      </x:c>
      <x:c r="C7" s="26" t="n">
        <x:f>B7/A7</x:f>
        <x:v>0.5</x:v>
      </x:c>
      <x:c r="D7" s="26" t="n">
        <x:v>0.99</x:v>
      </x:c>
      <x:c r="E7" s="26" t="n">
        <x:f>C7*D7</x:f>
        <x:v>0.495</x:v>
      </x:c>
      <x:c r="F7" s="26" t="str">
        <x:f>IF(E7&gt;1,"IMPOSSIBLE WITHOUT OTHER SAVING","q_quant must exceed threshold")</x:f>
        <x:v>q_quant must exceed threshold</x:v>
      </x:c>
    </x:row>
    <x:row r="8">
      <x:c r="A8" t="n">
        <x:v>0.8</x:v>
      </x:c>
      <x:c r="B8" t="n">
        <x:v>0.5</x:v>
      </x:c>
      <x:c r="C8" s="26" t="n">
        <x:f>B8/A8</x:f>
        <x:v>0.625</x:v>
      </x:c>
      <x:c r="D8" s="26" t="n">
        <x:v>0.99</x:v>
      </x:c>
      <x:c r="E8" s="26" t="n">
        <x:f>C8*D8</x:f>
        <x:v>0.61875</x:v>
      </x:c>
      <x:c r="F8" s="26" t="str">
        <x:f>IF(E8&gt;1,"IMPOSSIBLE WITHOUT OTHER SAVING","q_quant must exceed threshold")</x:f>
        <x:v>q_quant must exceed threshold</x:v>
      </x:c>
    </x:row>
    <x:row r="9">
      <x:c r="A9" t="n">
        <x:v>1</x:v>
      </x:c>
      <x:c r="B9" t="n">
        <x:v>0.5</x:v>
      </x:c>
      <x:c r="C9" s="26" t="n">
        <x:f>B9/A9</x:f>
        <x:v>0.5</x:v>
      </x:c>
      <x:c r="D9" s="26" t="n">
        <x:v>0.99</x:v>
      </x:c>
      <x:c r="E9" s="26" t="n">
        <x:f>C9*D9</x:f>
        <x:v>0.495</x:v>
      </x:c>
      <x:c r="F9" s="26" t="str">
        <x:f>IF(E9&gt;1,"IMPOSSIBLE WITHOUT OTHER SAVING","q_quant must exceed threshold")</x:f>
        <x:v>q_quant must exceed threshold</x:v>
      </x:c>
    </x:row>
    <x:row r="10">
      <x:c r="A10" t="n">
        <x:v>1.1</x:v>
      </x:c>
      <x:c r="B10" t="n">
        <x:v>0.5</x:v>
      </x:c>
      <x:c r="C10" s="26" t="n">
        <x:f>B10/A10</x:f>
        <x:v>0.45454545454545453</x:v>
      </x:c>
      <x:c r="D10" s="26" t="n">
        <x:v>0.99</x:v>
      </x:c>
      <x:c r="E10" s="26" t="n">
        <x:f>C10*D10</x:f>
        <x:v>0.44999999999999996</x:v>
      </x:c>
      <x:c r="F10" s="26" t="str">
        <x:f>IF(E10&gt;1,"IMPOSSIBLE WITHOUT OTHER SAVING","q_quant must exceed threshold")</x:f>
        <x:v>q_quant must exceed threshold</x:v>
      </x:c>
    </x:row>
    <x:row r="11">
      <x:c r="A11" t="n">
        <x:v>1.25</x:v>
      </x:c>
      <x:c r="B11" t="n">
        <x:v>0.5</x:v>
      </x:c>
      <x:c r="C11" s="26" t="n">
        <x:f>B11/A11</x:f>
        <x:v>0.4</x:v>
      </x:c>
      <x:c r="D11" s="26" t="n">
        <x:v>0.99</x:v>
      </x:c>
      <x:c r="E11" s="26" t="n">
        <x:f>C11*D11</x:f>
        <x:v>0.396</x:v>
      </x:c>
      <x:c r="F11" s="26" t="str">
        <x:f>IF(E11&gt;1,"IMPOSSIBLE WITHOUT OTHER SAVING","q_quant must exceed threshold")</x:f>
        <x:v>q_quant must exceed threshold</x:v>
      </x:c>
    </x:row>
    <x:row r="12">
      <x:c r="A12" t="n">
        <x:v>1.5</x:v>
      </x:c>
      <x:c r="B12" t="n">
        <x:v>0.5</x:v>
      </x:c>
      <x:c r="C12" s="26" t="n">
        <x:f>B12/A12</x:f>
        <x:v>0.3333333333333333</x:v>
      </x:c>
      <x:c r="D12" s="26" t="n">
        <x:v>0.99</x:v>
      </x:c>
      <x:c r="E12" s="26" t="n">
        <x:f>C12*D12</x:f>
        <x:v>0.32999999999999996</x:v>
      </x:c>
      <x:c r="F12" s="26" t="str">
        <x:f>IF(E12&gt;1,"IMPOSSIBLE WITHOUT OTHER SAVING","q_quant must exceed threshold")</x:f>
        <x:v>q_quant must exceed threshold</x:v>
      </x:c>
    </x:row>
    <x:row r="13">
      <x:c r="A13" t="n">
        <x:v>2</x:v>
      </x:c>
      <x:c r="B13" t="n">
        <x:v>0.5</x:v>
      </x:c>
      <x:c r="C13" s="26" t="n">
        <x:f>B13/A13</x:f>
        <x:v>0.25</x:v>
      </x:c>
      <x:c r="D13" s="26" t="n">
        <x:v>0.99</x:v>
      </x:c>
      <x:c r="E13" s="26" t="n">
        <x:f>C13*D13</x:f>
        <x:v>0.2475</x:v>
      </x:c>
      <x:c r="F13" s="26" t="str">
        <x:f>IF(E13&gt;1,"IMPOSSIBLE WITHOUT OTHER SAVING","q_quant must exceed threshold")</x:f>
        <x:v>q_quant must exceed threshold</x:v>
      </x:c>
    </x:row>
    <x:row r="16">
      <x:c r="A16" s="10" t="str">
        <x:v>Batch</x:v>
      </x:c>
      <x:c r="B16" s="10" t="str">
        <x:v>Saved transfer ms/token</x:v>
      </x:c>
      <x:c r="C16" s="10" t="str">
        <x:v>Extra quant overhead</x:v>
      </x:c>
      <x:c r="D16" s="10" t="str">
        <x:v>Net saved ms</x:v>
      </x:c>
      <x:c r="E16" s="10" t="str">
        <x:v>Faster?</x:v>
      </x:c>
      <x:c r="F16" s="10" t="str">
        <x:v>House assumption</x:v>
      </x:c>
    </x:row>
    <x:row r="17">
      <x:c r="A17" t="n">
        <x:v>1</x:v>
      </x:c>
      <x:c r="B17" s="26" t="n">
        <x:f>(MEMORY!B3-MEMORY!C3)/KERNEL!B4/A17</x:f>
        <x:v>34.635416666666664</x:v>
      </x:c>
      <x:c r="C17" s="26" t="n">
        <x:f>INPUTS!B31</x:f>
        <x:v>5</x:v>
      </x:c>
      <x:c r="D17" s="26" t="n">
        <x:f>B17-C17</x:f>
        <x:v>29.635416666666664</x:v>
      </x:c>
      <x:c r="E17" s="26" t="str">
        <x:f>IF(D17&gt;0,"YES","NO")</x:f>
        <x:v>YES</x:v>
      </x:c>
      <x:c r="F17" t="str">
        <x:v>Traffic-only teaching model</x:v>
      </x:c>
    </x:row>
    <x:row r="18">
      <x:c r="A18" t="n">
        <x:v>2</x:v>
      </x:c>
      <x:c r="B18" s="26" t="n">
        <x:f>(MEMORY!B3-MEMORY!C3)/KERNEL!B4/A18</x:f>
        <x:v>17.317708333333332</x:v>
      </x:c>
      <x:c r="C18" s="26" t="n">
        <x:f>INPUTS!B31</x:f>
        <x:v>5</x:v>
      </x:c>
      <x:c r="D18" s="26" t="n">
        <x:f>B18-C18</x:f>
        <x:v>12.317708333333332</x:v>
      </x:c>
      <x:c r="E18" s="26" t="str">
        <x:f>IF(D18&gt;0,"YES","NO")</x:f>
        <x:v>YES</x:v>
      </x:c>
      <x:c r="F18" t="str">
        <x:v>Traffic-only teaching model</x:v>
      </x:c>
    </x:row>
    <x:row r="19">
      <x:c r="A19" t="n">
        <x:v>4</x:v>
      </x:c>
      <x:c r="B19" s="26" t="n">
        <x:f>(MEMORY!B3-MEMORY!C3)/KERNEL!B4/A19</x:f>
        <x:v>8.658854166666666</x:v>
      </x:c>
      <x:c r="C19" s="26" t="n">
        <x:f>INPUTS!B31</x:f>
        <x:v>5</x:v>
      </x:c>
      <x:c r="D19" s="26" t="n">
        <x:f>B19-C19</x:f>
        <x:v>3.658854166666666</x:v>
      </x:c>
      <x:c r="E19" s="26" t="str">
        <x:f>IF(D19&gt;0,"YES","NO")</x:f>
        <x:v>YES</x:v>
      </x:c>
      <x:c r="F19" t="str">
        <x:v>Traffic-only teaching model</x:v>
      </x:c>
    </x:row>
    <x:row r="20">
      <x:c r="A20" t="n">
        <x:v>8</x:v>
      </x:c>
      <x:c r="B20" s="26" t="n">
        <x:f>(MEMORY!B3-MEMORY!C3)/KERNEL!B4/A20</x:f>
        <x:v>4.329427083333333</x:v>
      </x:c>
      <x:c r="C20" s="26" t="n">
        <x:f>INPUTS!B31</x:f>
        <x:v>5</x:v>
      </x:c>
      <x:c r="D20" s="26" t="n">
        <x:f>B20-C20</x:f>
        <x:v>-0.670572916666667</x:v>
      </x:c>
      <x:c r="E20" s="26" t="str">
        <x:f>IF(D20&gt;0,"YES","NO")</x:f>
        <x:v>NO</x:v>
      </x:c>
      <x:c r="F20" t="str">
        <x:v>Traffic-only teaching model</x:v>
      </x:c>
    </x:row>
    <x:row r="21">
      <x:c r="A21" t="n">
        <x:v>16</x:v>
      </x:c>
      <x:c r="B21" s="26" t="n">
        <x:f>(MEMORY!B3-MEMORY!C3)/KERNEL!B4/A21</x:f>
        <x:v>2.1647135416666665</x:v>
      </x:c>
      <x:c r="C21" s="26" t="n">
        <x:f>INPUTS!B31</x:f>
        <x:v>5</x:v>
      </x:c>
      <x:c r="D21" s="26" t="n">
        <x:f>B21-C21</x:f>
        <x:v>-2.8352864583333335</x:v>
      </x:c>
      <x:c r="E21" s="26" t="str">
        <x:f>IF(D21&gt;0,"YES","NO")</x:f>
        <x:v>NO</x:v>
      </x:c>
      <x:c r="F21" t="str">
        <x:v>Traffic-only teaching model</x:v>
      </x:c>
    </x:row>
    <x:row r="22">
      <x:c r="A22" t="n">
        <x:v>32</x:v>
      </x:c>
      <x:c r="B22" s="26" t="n">
        <x:f>(MEMORY!B3-MEMORY!C3)/KERNEL!B4/A22</x:f>
        <x:v>1.0823567708333333</x:v>
      </x:c>
      <x:c r="C22" s="26" t="n">
        <x:f>INPUTS!B31</x:f>
        <x:v>5</x:v>
      </x:c>
      <x:c r="D22" s="26" t="n">
        <x:f>B22-C22</x:f>
        <x:v>-3.917643229166667</x:v>
      </x:c>
      <x:c r="E22" s="26" t="str">
        <x:f>IF(D22&gt;0,"YES","NO")</x:f>
        <x:v>NO</x:v>
      </x:c>
      <x:c r="F22" t="str">
        <x:v>Traffic-only teaching model</x:v>
      </x:c>
    </x:row>
    <x:row r="23">
      <x:c r="A23" t="n">
        <x:v>64</x:v>
      </x:c>
      <x:c r="B23" s="26" t="n">
        <x:f>(MEMORY!B3-MEMORY!C3)/KERNEL!B4/A23</x:f>
        <x:v>0.5411783854166666</x:v>
      </x:c>
      <x:c r="C23" s="26" t="n">
        <x:f>INPUTS!B31</x:f>
        <x:v>5</x:v>
      </x:c>
      <x:c r="D23" s="26" t="n">
        <x:f>B23-C23</x:f>
        <x:v>-4.458821614583333</x:v>
      </x:c>
      <x:c r="E23" s="26" t="str">
        <x:f>IF(D23&gt;0,"YES","NO")</x:f>
        <x:v>NO</x:v>
      </x:c>
      <x:c r="F23" t="str">
        <x:v>Traffic-only teaching model</x:v>
      </x:c>
    </x:row>
    <x:row r="24">
      <x:c r="A24" t="n">
        <x:v>128</x:v>
      </x:c>
      <x:c r="B24" s="26" t="n">
        <x:f>(MEMORY!B3-MEMORY!C3)/KERNEL!B4/A24</x:f>
        <x:v>0.2705891927083333</x:v>
      </x:c>
      <x:c r="C24" s="26" t="n">
        <x:f>INPUTS!B31</x:f>
        <x:v>5</x:v>
      </x:c>
      <x:c r="D24" s="26" t="n">
        <x:f>B24-C24</x:f>
        <x:v>-4.729410807291667</x:v>
      </x:c>
      <x:c r="E24" s="26" t="str">
        <x:f>IF(D24&gt;0,"YES","NO")</x:f>
        <x:v>NO</x:v>
      </x:c>
      <x:c r="F24" t="str">
        <x:v>Traffic-only teaching model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52" hidden="0" customWidth="1"/>
    <x:col min="13" max="13" width="78" hidden="0" customWidth="1"/>
  </x:cols>
  <x:sheetData>
    <x:row r="1">
      <x:c r="A1" s="14" t="str">
        <x:v>Source</x:v>
      </x:c>
      <x:c r="B1" s="14" t="str">
        <x:v>Model</x:v>
      </x:c>
      <x:c r="C1" s="14" t="str">
        <x:v>GPU</x:v>
      </x:c>
      <x:c r="D1" s="14" t="str">
        <x:v>Quantization</x:v>
      </x:c>
      <x:c r="E1" s="14" t="str">
        <x:v>Framework</x:v>
      </x:c>
      <x:c r="F1" s="14" t="str">
        <x:v>Batch</x:v>
      </x:c>
      <x:c r="G1" s="14" t="str">
        <x:v>Context</x:v>
      </x:c>
      <x:c r="H1" s="14" t="str">
        <x:v>Metric</x:v>
      </x:c>
      <x:c r="I1" s="14" t="str">
        <x:v>Higher precision</x:v>
      </x:c>
      <x:c r="J1" s="14" t="str">
        <x:v>Quantized</x:v>
      </x:c>
      <x:c r="K1" s="14" t="str">
        <x:v>Difference</x:v>
      </x:c>
      <x:c r="L1" s="14" t="str">
        <x:v>Caveat</x:v>
      </x:c>
      <x:c r="M1" s="14" t="str">
        <x:v>URL</x:v>
      </x:c>
    </x:row>
    <x:row r="2">
      <x:c r="A2" s="13" t="str">
        <x:v>TensorRT-LLM quantization blog</x:v>
      </x:c>
      <x:c r="B2" s="13" t="str">
        <x:v>LLaMA-v2-7B</x:v>
      </x:c>
      <x:c r="C2" s="13" t="str">
        <x:v>H100 80GB</x:v>
      </x:c>
      <x:c r="D2" s="13" t="str">
        <x:v>FP8 vs FP16</x:v>
      </x:c>
      <x:c r="E2" s="13" t="str">
        <x:v>TensorRT-LLM</x:v>
      </x:c>
      <x:c r="F2" s="13" t="n">
        <x:v>1</x:v>
      </x:c>
      <x:c r="G2" s="13" t="str">
        <x:v>ISL 1024 / OSL 128</x:v>
      </x:c>
      <x:c r="H2" s="13" t="str">
        <x:v>inference speedup</x:v>
      </x:c>
      <x:c r="I2" s="13" t="str">
        <x:v>FP16 baseline</x:v>
      </x:c>
      <x:c r="J2" s="13" t="str">
        <x:v>FP8 1.51x at BS1</x:v>
      </x:c>
      <x:c r="K2" s="13" t="str">
        <x:v>1.51x</x:v>
      </x:c>
      <x:c r="L2" s="13" t="str">
        <x:v>TP1; exact software vintage in blog; not 4-bit.</x:v>
      </x:c>
      <x:c r="M2" s="13" t="str">
        <x:v>https://github.com/NVIDIA/TensorRT-LLM/blob/main/docs/source/blogs/quantization-in-TRT-LLM.md</x:v>
      </x:c>
    </x:row>
    <x:row r="3">
      <x:c r="A3" s="13" t="str">
        <x:v>TensorRT-LLM quantization blog</x:v>
      </x:c>
      <x:c r="B3" s="13" t="str">
        <x:v>LLaMA-v2-7B</x:v>
      </x:c>
      <x:c r="C3" s="13" t="str">
        <x:v>H100 80GB</x:v>
      </x:c>
      <x:c r="D3" s="13" t="str">
        <x:v>FP8 vs FP16</x:v>
      </x:c>
      <x:c r="E3" s="13" t="str">
        <x:v>TensorRT-LLM</x:v>
      </x:c>
      <x:c r="F3" s="13" t="n">
        <x:v>8</x:v>
      </x:c>
      <x:c r="G3" s="13" t="str">
        <x:v>ISL 1024 / OSL 128</x:v>
      </x:c>
      <x:c r="H3" s="13" t="str">
        <x:v>inference speedup</x:v>
      </x:c>
      <x:c r="I3" s="13" t="str">
        <x:v>FP16 baseline</x:v>
      </x:c>
      <x:c r="J3" s="13" t="str">
        <x:v>FP8 1.40x at BS8</x:v>
      </x:c>
      <x:c r="K3" s="13" t="str">
        <x:v>1.40x</x:v>
      </x:c>
      <x:c r="L3" s="13" t="str">
        <x:v>TP1; no latency constraint in table.</x:v>
      </x:c>
      <x:c r="M3" s="13" t="str">
        <x:v>https://github.com/NVIDIA/TensorRT-LLM/blob/main/docs/source/blogs/quantization-in-TRT-LLM.md</x:v>
      </x:c>
    </x:row>
    <x:row r="4">
      <x:c r="A4" s="13" t="str">
        <x:v>TensorRT-LLM quantization blog</x:v>
      </x:c>
      <x:c r="B4" s="13" t="str">
        <x:v>LLaMA-v2-7B</x:v>
      </x:c>
      <x:c r="C4" s="13" t="str">
        <x:v>H100 80GB</x:v>
      </x:c>
      <x:c r="D4" s="13" t="str">
        <x:v>FP8 vs FP16</x:v>
      </x:c>
      <x:c r="E4" s="13" t="str">
        <x:v>TensorRT-LLM</x:v>
      </x:c>
      <x:c r="F4" s="13" t="n">
        <x:v>16</x:v>
      </x:c>
      <x:c r="G4" s="13" t="str">
        <x:v>ISL 1024 / OSL 128</x:v>
      </x:c>
      <x:c r="H4" s="13" t="str">
        <x:v>speedup with first-token &lt;500ms</x:v>
      </x:c>
      <x:c r="I4" s="13" t="str">
        <x:v>FP16 baseline</x:v>
      </x:c>
      <x:c r="J4" s="13" t="str">
        <x:v>FP8 2.3x</x:v>
      </x:c>
      <x:c r="K4" s="13" t="str">
        <x:v>2.3x</x:v>
      </x:c>
      <x:c r="L4" s="13" t="str">
        <x:v>Blog statement; latency-constrained case, not pure max-throughput comparison.</x:v>
      </x:c>
      <x:c r="M4" s="13" t="str">
        <x:v>https://github.com/NVIDIA/TensorRT-LLM/blob/main/docs/source/blogs/quantization-in-TRT-LLM.md</x:v>
      </x:c>
    </x:row>
    <x:row r="5">
      <x:c r="A5" s="13" t="str">
        <x:v>TensorRT-LLM quantization blog</x:v>
      </x:c>
      <x:c r="B5" s="13" t="str">
        <x:v>LLaMA-v2-70B</x:v>
      </x:c>
      <x:c r="C5" s="13" t="str">
        <x:v>not fully restated in accuracy table</x:v>
      </x:c>
      <x:c r="D5" s="13" t="str">
        <x:v>INT4-AWQ vs FP16</x:v>
      </x:c>
      <x:c r="E5" s="13" t="str">
        <x:v>TensorRT-LLM</x:v>
      </x:c>
      <x:c r="F5" s="13" t="str"/>
      <x:c r="G5" s="13" t="str"/>
      <x:c r="H5" s="13" t="str">
        <x:v>MMLU</x:v>
      </x:c>
      <x:c r="I5" s="13" t="str">
        <x:v>69.1</x:v>
      </x:c>
      <x:c r="J5" s="13" t="str">
        <x:v>68.4</x:v>
      </x:c>
      <x:c r="K5" s="13" t="str">
        <x:v>-0.7 points (~1.01% relative loss)</x:v>
      </x:c>
      <x:c r="L5" s="13" t="str">
        <x:v>Accuracy table lacks full performance setup; do not combine with unrelated throughput.</x:v>
      </x:c>
      <x:c r="M5" s="13" t="str">
        <x:v>https://github.com/NVIDIA/TensorRT-LLM/blob/main/docs/source/blogs/quantization-in-TRT-LLM.md</x:v>
      </x:c>
    </x:row>
    <x:row r="6">
      <x:c r="A6" s="13" t="str">
        <x:v>TensorRT-LLM FP8 tuning guide</x:v>
      </x:c>
      <x:c r="B6" s="13" t="str">
        <x:v>Llama-3.3-70B</x:v>
      </x:c>
      <x:c r="C6" s="13" t="str">
        <x:v>4 × H100 SXM 80GB</x:v>
      </x:c>
      <x:c r="D6" s="13" t="str">
        <x:v>FP8 model; FP8 KV cache OFF vs ON</x:v>
      </x:c>
      <x:c r="E6" s="13" t="str">
        <x:v>TensorRT-LLM TensorRT engine</x:v>
      </x:c>
      <x:c r="F6" s="13" t="str">
        <x:v>max_batch_size tuned up to 512</x:v>
      </x:c>
      <x:c r="G6" s="13" t="str">
        <x:v>calib max seq 2048; tokenizer max 4096; benchmark workload as guide</x:v>
      </x:c>
      <x:c r="H6" s="13" t="str">
        <x:v>token throughput</x:v>
      </x:c>
      <x:c r="I6" s="13" t="str">
        <x:v>3389.5305 tok/s</x:v>
      </x:c>
      <x:c r="J6" s="13" t="str">
        <x:v>5299.6372 tok/s</x:v>
      </x:c>
      <x:c r="K6" s="13" t="str">
        <x:v>+56.35%</x:v>
      </x:c>
      <x:c r="L6" s="13" t="str">
        <x:v>TP4; NVIDIA labels the numbers demonstration-only and environment/SKU/interconnect/workload dependent; quality must be checked.</x:v>
      </x:c>
      <x:c r="M6" s="13" t="str">
        <x:v>https://nvidia.github.io/TensorRT-LLM/performance/performance-tuning-guide/fp8-quantization.html</x:v>
      </x:c>
    </x:row>
    <x:row r="7">
      <x:c r="A7" s="13" t="str">
        <x:v>TensorRT-LLM current perf overview</x:v>
      </x:c>
      <x:c r="B7" s="13" t="str">
        <x:v>Llama 3.3 70B</x:v>
      </x:c>
      <x:c r="C7" s="13" t="str">
        <x:v>B200</x:v>
      </x:c>
      <x:c r="D7" s="13" t="str">
        <x:v>FP4</x:v>
      </x:c>
      <x:c r="E7" s="13" t="str">
        <x:v>TensorRT-LLM PyTorch backend</x:v>
      </x:c>
      <x:c r="F7" s="13" t="str">
        <x:v>throughput benchmark</x:v>
      </x:c>
      <x:c r="G7" s="13" t="str">
        <x:v>ISL/OSL 1000/1000</x:v>
      </x:c>
      <x:c r="H7" s="13" t="str">
        <x:v>output tok/s/GPU</x:v>
      </x:c>
      <x:c r="I7" s="13" t="str"/>
      <x:c r="J7" s="13" t="str">
        <x:v>6920</x:v>
      </x:c>
      <x:c r="K7" s="13" t="str">
        <x:v>6920</x:v>
      </x:c>
      <x:c r="L7" s="13" t="str">
        <x:v>TP1 FP4. Not directly comparable to H200 FP8 because GPU + TP differ.</x:v>
      </x:c>
      <x:c r="M7" s="13" t="str">
        <x:v>https://github.com/NVIDIA/TensorRT-LLM/blob/main/docs/source/developer-guide/perf-overview.md</x:v>
      </x:c>
    </x:row>
    <x:row r="8">
      <x:c r="A8" s="13" t="str">
        <x:v>TensorRT-LLM current perf overview</x:v>
      </x:c>
      <x:c r="B8" s="13" t="str">
        <x:v>Llama 3.3 70B</x:v>
      </x:c>
      <x:c r="C8" s="13" t="str">
        <x:v>H200</x:v>
      </x:c>
      <x:c r="D8" s="13" t="str">
        <x:v>FP8</x:v>
      </x:c>
      <x:c r="E8" s="13" t="str">
        <x:v>TensorRT-LLM PyTorch backend</x:v>
      </x:c>
      <x:c r="F8" s="13" t="str">
        <x:v>throughput benchmark</x:v>
      </x:c>
      <x:c r="G8" s="13" t="str">
        <x:v>ISL/OSL 1000/1000</x:v>
      </x:c>
      <x:c r="H8" s="13" t="str">
        <x:v>output tok/s/GPU</x:v>
      </x:c>
      <x:c r="I8" s="13" t="str"/>
      <x:c r="J8" s="13" t="str">
        <x:v>2587</x:v>
      </x:c>
      <x:c r="K8" s="13" t="str">
        <x:v>2587</x:v>
      </x:c>
      <x:c r="L8" s="13" t="str">
        <x:v>TP2 FP8. Do not attribute B200/H200 gap to quantization alone.</x:v>
      </x:c>
      <x:c r="M8" s="13" t="str">
        <x:v>https://github.com/NVIDIA/TensorRT-LLM/blob/main/docs/source/developer-guide/perf-overview.md</x:v>
      </x:c>
    </x:row>
    <x:row r="9">
      <x:c r="A9" s="13" t="str">
        <x:v>AWQ paper/repo</x:v>
      </x:c>
      <x:c r="B9" s="13" t="str">
        <x:v>Llama-3 8B</x:v>
      </x:c>
      <x:c r="C9" s="13" t="str">
        <x:v>RTX 4090</x:v>
      </x:c>
      <x:c r="D9" s="13" t="str">
        <x:v>W4A16 AWQ vs FP16</x:v>
      </x:c>
      <x:c r="E9" s="13" t="str">
        <x:v>TinyChat</x:v>
      </x:c>
      <x:c r="F9" s="13" t="str"/>
      <x:c r="G9" s="13" t="str">
        <x:v>repo demo</x:v>
      </x:c>
      <x:c r="H9" s="13" t="str">
        <x:v>generation speedup</x:v>
      </x:c>
      <x:c r="I9" s="13" t="str">
        <x:v>FP16</x:v>
      </x:c>
      <x:c r="J9" s="13" t="str">
        <x:v>2.7x</x:v>
      </x:c>
      <x:c r="K9" s="13" t="str">
        <x:v>2.7x</x:v>
      </x:c>
      <x:c r="L9" s="13" t="str">
        <x:v>Repo does not expose all serving conditions in summary; edge/desktop kernel stack differs from data-center TRT-LLM.</x:v>
      </x:c>
      <x:c r="M9" s="13" t="str">
        <x:v>https://github.com/mit-han-lab/llm-awq</x:v>
      </x:c>
    </x:row>
    <x:row r="10">
      <x:c r="A10" s="13" t="str">
        <x:v>GPTQ paper/repo</x:v>
      </x:c>
      <x:c r="B10" s="13" t="str">
        <x:v>OPT-175B</x:v>
      </x:c>
      <x:c r="C10" s="13" t="str">
        <x:v>A100</x:v>
      </x:c>
      <x:c r="D10" s="13" t="str">
        <x:v>3-bit GPTQ vs FP16</x:v>
      </x:c>
      <x:c r="E10" s="13" t="str">
        <x:v>GPTQ custom CUDA</x:v>
      </x:c>
      <x:c r="F10" s="13" t="str"/>
      <x:c r="G10" s="13" t="str">
        <x:v>128-token generation benchmark</x:v>
      </x:c>
      <x:c r="H10" s="13" t="str">
        <x:v>generation speedup</x:v>
      </x:c>
      <x:c r="I10" s="13" t="str">
        <x:v>FP16</x:v>
      </x:c>
      <x:c r="J10" s="13" t="str">
        <x:v>up to 3.25x</x:v>
      </x:c>
      <x:c r="K10" s="13" t="str">
        <x:v>3.25x</x:v>
      </x:c>
      <x:c r="L10" s="13" t="str">
        <x:v>Old custom kernel/model; 3-bit, not current 4-bit Blackwell conclusion.</x:v>
      </x:c>
      <x:c r="M10" s="13" t="str">
        <x:v>https://github.com/IST-DASLab/gptq</x:v>
      </x:c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82" hidden="0" customWidth="1"/>
    <x:col min="5" max="5" width="16" hidden="0" customWidth="1"/>
    <x:col min="6" max="6" width="70" hidden="0" customWidth="1"/>
  </x:cols>
  <x:sheetData>
    <x:row r="1">
      <x:c r="A1" s="14" t="str">
        <x:v>ID</x:v>
      </x:c>
      <x:c r="B1" s="14" t="str">
        <x:v>Organization</x:v>
      </x:c>
      <x:c r="C1" s="14" t="str">
        <x:v>Source</x:v>
      </x:c>
      <x:c r="D1" s="14" t="str">
        <x:v>URL</x:v>
      </x:c>
      <x:c r="E1" s="14" t="str">
        <x:v>Accessed</x:v>
      </x:c>
      <x:c r="F1" s="14" t="str">
        <x:v>Supports</x:v>
      </x:c>
    </x:row>
    <x:row r="2">
      <x:c r="A2" s="13" t="str">
        <x:v>S01</x:v>
      </x:c>
      <x:c r="B2" s="13" t="str">
        <x:v>NVIDIA</x:v>
      </x:c>
      <x:c r="C2" s="13" t="str">
        <x:v>H200 GPU</x:v>
      </x:c>
      <x:c r="D2" s="13" t="str">
        <x:v>https://www.nvidia.com/en-in/data-center/h200/</x:v>
      </x:c>
      <x:c r="E2" s="13" t="str">
        <x:v>2026-08-11</x:v>
      </x:c>
      <x:c r="F2" s="13" t="str">
        <x:v>141GB HBM3e; 4.8TB/s; Hopper FP8/INT8/BF16 specs</x:v>
      </x:c>
    </x:row>
    <x:row r="3">
      <x:c r="A3" s="13" t="str">
        <x:v>S02</x:v>
      </x:c>
      <x:c r="B3" s="13" t="str">
        <x:v>NVIDIA</x:v>
      </x:c>
      <x:c r="C3" s="13" t="str">
        <x:v>DGX B200</x:v>
      </x:c>
      <x:c r="D3" s="13" t="str">
        <x:v>https://www.nvidia.com/en-au/data-center/dgx-b200/</x:v>
      </x:c>
      <x:c r="E3" s="13" t="str">
        <x:v>2026-08-11</x:v>
      </x:c>
      <x:c r="F3" s="13" t="str">
        <x:v>8 GPUs, 1,440GB HBM3e, 64TB/s; FP4/FP8</x:v>
      </x:c>
    </x:row>
    <x:row r="4">
      <x:c r="A4" s="13" t="str">
        <x:v>S03</x:v>
      </x:c>
      <x:c r="B4" s="13" t="str">
        <x:v>NVIDIA</x:v>
      </x:c>
      <x:c r="C4" s="13" t="str">
        <x:v>Tensor Cores precision support</x:v>
      </x:c>
      <x:c r="D4" s="13" t="str">
        <x:v>https://www.nvidia.com/en-in/data-center/tensor-cores/</x:v>
      </x:c>
      <x:c r="E4" s="13" t="str">
        <x:v>2026-08-11</x:v>
      </x:c>
      <x:c r="F4" s="13" t="str">
        <x:v>Blackwell adds FP4/FP6; Hopper supports through FP8/INT8</x:v>
      </x:c>
    </x:row>
    <x:row r="5">
      <x:c r="A5" s="13" t="str">
        <x:v>S04</x:v>
      </x:c>
      <x:c r="B5" s="13" t="str">
        <x:v>NVIDIA TensorRT-LLM</x:v>
      </x:c>
      <x:c r="C5" s="13" t="str">
        <x:v>Quantization feature docs</x:v>
      </x:c>
      <x:c r="D5" s="13" t="str">
        <x:v>https://github.com/NVIDIA/TensorRT-LLM/blob/main/docs/source/features/quantization.md</x:v>
      </x:c>
      <x:c r="E5" s="13" t="str">
        <x:v>2026-08-11</x:v>
      </x:c>
      <x:c r="F5" s="13" t="str">
        <x:v>FP4/FP8/W4A16/W4A8/KV support matrix</x:v>
      </x:c>
    </x:row>
    <x:row r="6">
      <x:c r="A6" s="13" t="str">
        <x:v>S05</x:v>
      </x:c>
      <x:c r="B6" s="13" t="str">
        <x:v>NVIDIA TensorRT-LLM</x:v>
      </x:c>
      <x:c r="C6" s="13" t="str">
        <x:v>Quantization README</x:v>
      </x:c>
      <x:c r="D6" s="13" t="str">
        <x:v>https://github.com/NVIDIA/TensorRT-LLM/blob/main/examples/quantization/README.md</x:v>
      </x:c>
      <x:c r="E6" s="13" t="str">
        <x:v>2026-08-11</x:v>
      </x:c>
      <x:c r="F6" s="13" t="str">
        <x:v>AWQ block 64/128; qformat definitions</x:v>
      </x:c>
    </x:row>
    <x:row r="7">
      <x:c r="A7" s="13" t="str">
        <x:v>S06</x:v>
      </x:c>
      <x:c r="B7" s="13" t="str">
        <x:v>NVIDIA Transformer Engine</x:v>
      </x:c>
      <x:c r="C7" s="13" t="str">
        <x:v>NVFP4 format</x:v>
      </x:c>
      <x:c r="D7" s="13" t="str">
        <x:v>https://docs.nvidia.com/deeplearning/transformer-engine/user-guide/features/low_precision_training/nvfp4/nvfp4.html</x:v>
      </x:c>
      <x:c r="E7" s="13" t="str">
        <x:v>2026-08-11</x:v>
      </x:c>
      <x:c r="F7" s="13" t="str">
        <x:v>E2M1, FP8 block scale/16, global FP32 scale, Blackwell support</x:v>
      </x:c>
    </x:row>
    <x:row r="8">
      <x:c r="A8" s="13" t="str">
        <x:v>S07</x:v>
      </x:c>
      <x:c r="B8" s="13" t="str">
        <x:v>vLLM</x:v>
      </x:c>
      <x:c r="C8" s="13" t="str">
        <x:v>Quantization</x:v>
      </x:c>
      <x:c r="D8" s="13" t="str">
        <x:v>https://docs.vllm.ai/en/stable/features/quantization/</x:v>
      </x:c>
      <x:c r="E8" s="13" t="str">
        <x:v>2026-08-11</x:v>
      </x:c>
      <x:c r="F8" s="13" t="str">
        <x:v>Current quantization formats and hardware support</x:v>
      </x:c>
    </x:row>
    <x:row r="9">
      <x:c r="A9" s="13" t="str">
        <x:v>S08</x:v>
      </x:c>
      <x:c r="B9" s="13" t="str">
        <x:v>AWQ authors</x:v>
      </x:c>
      <x:c r="C9" s="13" t="str">
        <x:v>AWQ repository/paper</x:v>
      </x:c>
      <x:c r="D9" s="13" t="str">
        <x:v>https://github.com/mit-han-lab/llm-awq</x:v>
      </x:c>
      <x:c r="E9" s="13" t="str">
        <x:v>2026-08-11</x:v>
      </x:c>
      <x:c r="F9" s="13" t="str">
        <x:v>W4A16, g128 examples, optimized kernels, quality/perf context</x:v>
      </x:c>
    </x:row>
    <x:row r="10">
      <x:c r="A10" s="13" t="str">
        <x:v>S09</x:v>
      </x:c>
      <x:c r="B10" s="13" t="str">
        <x:v>GPTQ authors</x:v>
      </x:c>
      <x:c r="C10" s="13" t="str">
        <x:v>GPTQ paper/repository</x:v>
      </x:c>
      <x:c r="D10" s="13" t="str">
        <x:v>https://arxiv.org/abs/2210.17323</x:v>
      </x:c>
      <x:c r="E10" s="13" t="str">
        <x:v>2026-08-11</x:v>
      </x:c>
      <x:c r="F10" s="13" t="str">
        <x:v>4/3-bit PTQ and historical speedups</x:v>
      </x:c>
    </x:row>
    <x:row r="11">
      <x:c r="A11" s="13" t="str">
        <x:v>S10</x:v>
      </x:c>
      <x:c r="B11" s="13" t="str">
        <x:v>SmoothQuant authors</x:v>
      </x:c>
      <x:c r="C11" s="13" t="str">
        <x:v>SmoothQuant paper</x:v>
      </x:c>
      <x:c r="D11" s="13" t="str">
        <x:v>https://arxiv.org/abs/2211.10438</x:v>
      </x:c>
      <x:c r="E11" s="13" t="str">
        <x:v>2026-08-11</x:v>
      </x:c>
      <x:c r="F11" s="13" t="str">
        <x:v>W8A8 activation/weight quantization and speed/memory result</x:v>
      </x:c>
    </x:row>
    <x:row r="12">
      <x:c r="A12" s="13" t="str">
        <x:v>S11</x:v>
      </x:c>
      <x:c r="B12" s="13" t="str">
        <x:v>NVIDIA TensorRT-LLM</x:v>
      </x:c>
      <x:c r="C12" s="13" t="str">
        <x:v>Current performance overview</x:v>
      </x:c>
      <x:c r="D12" s="13" t="str">
        <x:v>https://github.com/NVIDIA/TensorRT-LLM/blob/main/docs/source/developer-guide/perf-overview.md</x:v>
      </x:c>
      <x:c r="E12" s="13" t="str">
        <x:v>2026-08-11</x:v>
      </x:c>
      <x:c r="F12" s="13" t="str">
        <x:v>Current FP4/FP8 per-GPU throughput tables and reproduction procedure</x:v>
      </x:c>
    </x:row>
    <x:row r="13">
      <x:c r="A13" s="13" t="str">
        <x:v>S12</x:v>
      </x:c>
      <x:c r="B13" s="13" t="str">
        <x:v>NVIDIA TensorRT-LLM</x:v>
      </x:c>
      <x:c r="C13" s="13" t="str">
        <x:v>FP8 tuning guide</x:v>
      </x:c>
      <x:c r="D13" s="13" t="str">
        <x:v>https://nvidia.github.io/TensorRT-LLM/performance/performance-tuning-guide/fp8-quantization.html</x:v>
      </x:c>
      <x:c r="E13" s="13" t="str">
        <x:v>2026-08-11</x:v>
      </x:c>
      <x:c r="F13" s="13" t="str">
        <x:v>FP8 KV cache throughput and latency example</x:v>
      </x:c>
    </x:row>
    <x:row r="14">
      <x:c r="A14" s="13"/>
      <x:c r="B14" s="13"/>
      <x:c r="C14" s="13"/>
      <x:c r="D14" s="13"/>
      <x:c r="E14" s="13"/>
      <x:c r="F14" s="13"/>
    </x:row>
    <x:row r="15">
      <x:c r="A15" s="13"/>
      <x:c r="B15" s="13"/>
      <x:c r="C15" s="13"/>
      <x:c r="D15" s="13"/>
      <x:c r="E15" s="13"/>
      <x:c r="F15" s="13"/>
    </x:row>
    <x:row r="16">
      <x:c r="A16" s="13"/>
      <x:c r="B16" s="13"/>
      <x:c r="C16" s="13"/>
      <x:c r="D16" s="13"/>
      <x:c r="E16" s="13"/>
      <x:c r="F16" s="13"/>
    </x:row>
  </x:sheetData>
  <x:pageMargins left="0.7" right="0.7" top="0.75" bottom="0.75" header="0.3" footer="0.3"/>
</x:worksheet>
</file>