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70a105298749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655e6c9c4324232"/>
    <x:sheet xmlns:r="http://schemas.openxmlformats.org/officeDocument/2006/relationships" name="EVENTS" sheetId="2" r:id="Rddb1779f96784f98"/>
    <x:sheet xmlns:r="http://schemas.openxmlformats.org/officeDocument/2006/relationships" name="PROVIDERS" sheetId="3" r:id="R48cfb0fa32e94e4d"/>
    <x:sheet xmlns:r="http://schemas.openxmlformats.org/officeDocument/2006/relationships" name="METRICS" sheetId="4" r:id="R3d88bc6f7ffb4720"/>
    <x:sheet xmlns:r="http://schemas.openxmlformats.org/officeDocument/2006/relationships" name="TRACE_A" sheetId="5" r:id="R86be9efb3bb34347"/>
    <x:sheet xmlns:r="http://schemas.openxmlformats.org/officeDocument/2006/relationships" name="TRACE_B" sheetId="6" r:id="R89b95b9c140e4770"/>
    <x:sheet xmlns:r="http://schemas.openxmlformats.org/officeDocument/2006/relationships" name="TTFT_TTFO" sheetId="7" r:id="Rebd5773021644dd5"/>
    <x:sheet xmlns:r="http://schemas.openxmlformats.org/officeDocument/2006/relationships" name="RANKING" sheetId="8" r:id="R757afae9440f4396"/>
    <x:sheet xmlns:r="http://schemas.openxmlformats.org/officeDocument/2006/relationships" name="SLO" sheetId="9" r:id="R40773ec0db36489c"/>
    <x:sheet xmlns:r="http://schemas.openxmlformats.org/officeDocument/2006/relationships" name="MIGRATION" sheetId="10" r:id="R3a780faf30934823"/>
    <x:sheet xmlns:r="http://schemas.openxmlformats.org/officeDocument/2006/relationships" name="SENSITIVITY" sheetId="11" r:id="Ra8e4a76dd0b64a0d"/>
    <x:sheet xmlns:r="http://schemas.openxmlformats.org/officeDocument/2006/relationships" name="SOURCES" sheetId="12" r:id="Re81ce137fcce44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1110F"/>
      <x:name val="Carlito"/>
    </x:font>
    <x:font>
      <x:b/>
      <x:sz val="11"/>
      <x:color rgb="FFF2EFE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F5BFF"/>
      </x:patternFill>
    </x:fill>
    <x:fill>
      <x:patternFill patternType="solid">
        <x:fgColor rgb="FFC9C3B7"/>
      </x:patternFill>
    </x:fill>
    <x:fill>
      <x:patternFill patternType="solid">
        <x:fgColor rgb="FF11110F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FFFFFF"/>
      </x:font>
      <x:fill>
        <x:patternFill patternType="solid">
          <x:bgColor rgb="FF2F5B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7b9d007af544e4" /><Relationship Type="http://schemas.openxmlformats.org/officeDocument/2006/relationships/theme" Target="/xl/theme/theme1.xml" Id="R44dd3722bddd48f6" /><Relationship Type="http://schemas.openxmlformats.org/officeDocument/2006/relationships/sharedStrings" Target="/xl/sharedStrings.xml" Id="Reefca49267614451" /><Relationship Type="http://schemas.openxmlformats.org/officeDocument/2006/relationships/worksheet" Target="/xl/worksheets/sheet1.xml" Id="R3655e6c9c4324232" /><Relationship Type="http://schemas.openxmlformats.org/officeDocument/2006/relationships/worksheet" Target="/xl/worksheets/sheet2.xml" Id="Rddb1779f96784f98" /><Relationship Type="http://schemas.openxmlformats.org/officeDocument/2006/relationships/worksheet" Target="/xl/worksheets/sheet3.xml" Id="R48cfb0fa32e94e4d" /><Relationship Type="http://schemas.openxmlformats.org/officeDocument/2006/relationships/worksheet" Target="/xl/worksheets/sheet4.xml" Id="R3d88bc6f7ffb4720" /><Relationship Type="http://schemas.openxmlformats.org/officeDocument/2006/relationships/worksheet" Target="/xl/worksheets/sheet5.xml" Id="R86be9efb3bb34347" /><Relationship Type="http://schemas.openxmlformats.org/officeDocument/2006/relationships/worksheet" Target="/xl/worksheets/sheet6.xml" Id="R89b95b9c140e4770" /><Relationship Type="http://schemas.openxmlformats.org/officeDocument/2006/relationships/worksheet" Target="/xl/worksheets/sheet7.xml" Id="Rebd5773021644dd5" /><Relationship Type="http://schemas.openxmlformats.org/officeDocument/2006/relationships/worksheet" Target="/xl/worksheets/sheet8.xml" Id="R757afae9440f4396" /><Relationship Type="http://schemas.openxmlformats.org/officeDocument/2006/relationships/worksheet" Target="/xl/worksheets/sheet9.xml" Id="R40773ec0db36489c" /><Relationship Type="http://schemas.openxmlformats.org/officeDocument/2006/relationships/worksheet" Target="/xl/worksheets/sheet10.xml" Id="R3a780faf30934823" /><Relationship Type="http://schemas.openxmlformats.org/officeDocument/2006/relationships/worksheet" Target="/xl/worksheets/sheet11.xml" Id="Ra8e4a76dd0b64a0d" /><Relationship Type="http://schemas.openxmlformats.org/officeDocument/2006/relationships/worksheet" Target="/xl/worksheets/sheet12.xml" Id="Re81ce137fcce44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6" hidden="0" customWidth="1"/>
  </x:cols>
  <x:sheetData>
    <x:row r="1">
      <x:c r="A1" s="4" t="str">
        <x:v>SECOND / PASS — REASONING-MODEL LATENCY MODEL</x:v>
      </x:c>
      <x:c r="B1" s="4"/>
      <x:c r="C1" s="4"/>
      <x:c r="D1" s="4"/>
    </x:row>
    <x:row r="2">
      <x:c r="A2" s="14"/>
      <x:c r="B2" s="14"/>
      <x:c r="C2" s="14"/>
      <x:c r="D2" s="14"/>
    </x:row>
    <x:row r="3">
      <x:c r="A3" s="10" t="str">
        <x:v>Purpose</x:v>
      </x:c>
      <x:c r="B3" s="14" t="str">
        <x:v>Record observable stream events, calculate TTFT/TTFO, detect rank reversals and preserve metric lineage.</x:v>
      </x:c>
      <x:c r="C3" s="14"/>
      <x:c r="D3" s="14"/>
    </x:row>
    <x:row r="4">
      <x:c r="A4" s="10" t="str">
        <x:v>Status</x:v>
      </x:c>
      <x:c r="B4" s="14" t="str">
        <x:v>RESEARCH MODEL — not a provider benchmark</x:v>
      </x:c>
      <x:c r="C4" s="14"/>
      <x:c r="D4" s="14"/>
    </x:row>
    <x:row r="5">
      <x:c r="A5" s="10" t="str">
        <x:v>Date</x:v>
      </x:c>
      <x:c r="B5" s="14" t="str">
        <x:v>2026-08-11</x:v>
      </x:c>
      <x:c r="C5" s="14"/>
      <x:c r="D5" s="14"/>
    </x:row>
    <x:row r="6">
      <x:c r="A6" s="10" t="str">
        <x:v>Core rule</x:v>
      </x:c>
      <x:c r="B6" s="14" t="str">
        <x:v>Name the event before comparing the metric.</x:v>
      </x:c>
      <x:c r="C6" s="14"/>
      <x:c r="D6" s="14"/>
    </x:row>
    <x:row r="7">
      <x:c r="A7" s="10" t="str">
        <x:v>TTFT</x:v>
      </x:c>
      <x:c r="B7" s="14" t="str">
        <x:v>Tool-scoped. AIPerf: first non-empty content response; can include reasoning.</x:v>
      </x:c>
      <x:c r="C7" s="14"/>
      <x:c r="D7" s="14"/>
    </x:row>
    <x:row r="8">
      <x:c r="A8" s="10" t="str">
        <x:v>TTFO</x:v>
      </x:c>
      <x:c r="B8" s="14" t="str">
        <x:v>AIPerf: first non-reasoning output.</x:v>
      </x:c>
      <x:c r="C8" s="14"/>
      <x:c r="D8" s="14"/>
    </x:row>
    <x:row r="9">
      <x:c r="A9" s="10" t="str">
        <x:v>Unknown handling</x:v>
      </x:c>
      <x:c r="B9" s="14" t="str">
        <x:v>NOT OBSERVABLE / UNKNOWN — never zero.</x:v>
      </x:c>
      <x:c r="C9" s="14"/>
      <x:c r="D9" s="14"/>
    </x:row>
    <x:row r="10">
      <x:c r="A10" s="10" t="str">
        <x:v>Scenario policy</x:v>
      </x:c>
      <x:c r="B10" s="14" t="str">
        <x:v>All latency examples in this workbook are synthetic.</x:v>
      </x:c>
      <x:c r="C10" s="14"/>
      <x:c r="D10" s="14"/>
    </x:row>
    <x:row r="11">
      <x:c r="A11" s="10" t="str">
        <x:v>Source policy</x:v>
      </x:c>
      <x:c r="B11" s="14" t="str">
        <x:v>Primary current docs only for load-bearing behavior.</x:v>
      </x:c>
      <x:c r="C11" s="14"/>
      <x:c r="D11" s="14"/>
    </x:row>
    <x:row r="12">
      <x:c r="A12" s="10" t="str">
        <x:v>Quality</x:v>
      </x:c>
      <x:c r="B12" s="14" t="str">
        <x:v>Compare only runs with aligned reasoning settings and event semantics.</x:v>
      </x:c>
      <x:c r="C12" s="14"/>
      <x:c r="D12" s="14"/>
    </x:row>
    <x:row r="13">
      <x:c r="A13" s="10" t="str">
        <x:v>Result states</x:v>
      </x:c>
      <x:c r="B13" s="14" t="str">
        <x:v>COMPARISON SAFE / SEMANTICS DIFFER / INSUFFICIENT EVENT DATA</x:v>
      </x:c>
      <x:c r="C13" s="14"/>
      <x:c r="D13" s="14"/>
    </x:row>
    <x:row r="14">
      <x:c r="A14" s="10" t="str">
        <x:v>Commercial use</x:v>
      </x:c>
      <x:c r="B14" s="14" t="str">
        <x:v>Replace scenarios with buyer traces before decisions.</x:v>
      </x:c>
      <x:c r="C14" s="14"/>
      <x:c r="D14" s="14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45" hidden="0" customWidth="1"/>
    <x:col min="5" max="5" width="18" hidden="0" customWidth="1"/>
    <x:col min="6" max="6" width="52" hidden="0" customWidth="1"/>
  </x:cols>
  <x:sheetData>
    <x:row r="1">
      <x:c r="A1" s="20" t="str">
        <x:v>Event</x:v>
      </x:c>
      <x:c r="B1" s="20" t="str">
        <x:v>Class</x:v>
      </x:c>
      <x:c r="C1" s="20" t="str">
        <x:v>Observable</x:v>
      </x:c>
      <x:c r="D1" s="20" t="str">
        <x:v>Definition</x:v>
      </x:c>
      <x:c r="E1" s="20" t="str">
        <x:v>Symbol</x:v>
      </x:c>
      <x:c r="F1" s="20" t="str">
        <x:v>Notes</x:v>
      </x:c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REQUEST_SENT</x:v>
      </x:c>
      <x:c r="B2" s="14" t="str">
        <x:v>client</x:v>
      </x:c>
      <x:c r="C2" s="14" t="str">
        <x:v>YES</x:v>
      </x:c>
      <x:c r="D2" s="14" t="str">
        <x:v>benchmark start timestamp</x:v>
      </x:c>
      <x:c r="E2" s="14" t="str">
        <x:v>t0</x:v>
      </x:c>
      <x:c r="F2" s="14" t="str">
        <x:v>Always define at the instrumented client boundary.</x:v>
      </x:c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FIRST_RESPONSE_EVENT</x:v>
      </x:c>
      <x:c r="B3" s="14" t="str">
        <x:v>transport/API</x:v>
      </x:c>
      <x:c r="C3" s="14" t="str">
        <x:v>YES</x:v>
      </x:c>
      <x:c r="D3" s="14" t="str">
        <x:v>may be metadata or empty</x:v>
      </x:c>
      <x:c r="E3" s="14" t="str">
        <x:v>t_response</x:v>
      </x:c>
      <x:c r="F3" s="14" t="str">
        <x:v>Do not call TTFT without content semantics.</x:v>
      </x:c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FIRST_ANY_CONTENT</x:v>
      </x:c>
      <x:c r="B4" s="14" t="str">
        <x:v>content</x:v>
      </x:c>
      <x:c r="C4" s="14" t="str">
        <x:v>CONDITIONAL</x:v>
      </x:c>
      <x:c r="D4" s="14" t="str">
        <x:v>first non-empty content-bearing chunk of any type</x:v>
      </x:c>
      <x:c r="E4" s="14" t="str">
        <x:v>t_any</x:v>
      </x:c>
      <x:c r="F4" s="14" t="str">
        <x:v>AIPerf TTFT is an example when reasoning is separately parsed.</x:v>
      </x:c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 t="str">
        <x:v>FIRST_REASONING_CONTENT</x:v>
      </x:c>
      <x:c r="B5" s="14" t="str">
        <x:v>reasoning</x:v>
      </x:c>
      <x:c r="C5" s="14" t="str">
        <x:v>CONDITIONAL</x:v>
      </x:c>
      <x:c r="D5" s="14" t="str">
        <x:v>first exposed reasoning field/chunk</x:v>
      </x:c>
      <x:c r="E5" s="14" t="str">
        <x:v>t_reason</x:v>
      </x:c>
      <x:c r="F5" s="14" t="str">
        <x:v>Not observable for hidden reasoning.</x:v>
      </x:c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 t="str">
        <x:v>FIRST_REASONING_SUMMARY</x:v>
      </x:c>
      <x:c r="B6" s="14" t="str">
        <x:v>summary</x:v>
      </x:c>
      <x:c r="C6" s="14" t="str">
        <x:v>CONDITIONAL</x:v>
      </x:c>
      <x:c r="D6" s="14" t="str">
        <x:v>first summary text chunk</x:v>
      </x:c>
      <x:c r="E6" s="14" t="str">
        <x:v>t_summary</x:v>
      </x:c>
      <x:c r="F6" s="14" t="str">
        <x:v>Summary is not raw internal reasoning.</x:v>
      </x:c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 t="str">
        <x:v>FIRST_NON_REASONING_OUTPUT</x:v>
      </x:c>
      <x:c r="B7" s="14" t="str">
        <x:v>answer</x:v>
      </x:c>
      <x:c r="C7" s="14" t="str">
        <x:v>CONDITIONAL</x:v>
      </x:c>
      <x:c r="D7" s="14" t="str">
        <x:v>first answer/output content</x:v>
      </x:c>
      <x:c r="E7" s="14" t="str">
        <x:v>t_out</x:v>
      </x:c>
      <x:c r="F7" s="14" t="str">
        <x:v>AIPerf TTFO target event.</x:v>
      </x:c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 t="str">
        <x:v>FINAL_OUTPUT</x:v>
      </x:c>
      <x:c r="B8" s="14" t="str">
        <x:v>answer</x:v>
      </x:c>
      <x:c r="C8" s="14" t="str">
        <x:v>CONDITIONAL</x:v>
      </x:c>
      <x:c r="D8" s="14" t="str">
        <x:v>last answer content</x:v>
      </x:c>
      <x:c r="E8" s="14" t="str">
        <x:v>t_final</x:v>
      </x:c>
      <x:c r="F8" s="14" t="str">
        <x:v>Useful for decode/output timeline.</x:v>
      </x:c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 t="str">
        <x:v>COMPLETED</x:v>
      </x:c>
      <x:c r="B9" s="14" t="str">
        <x:v>lifecycle</x:v>
      </x:c>
      <x:c r="C9" s="14" t="str">
        <x:v>YES</x:v>
      </x:c>
      <x:c r="D9" s="14" t="str">
        <x:v>request completion event</x:v>
      </x:c>
      <x:c r="E9" s="14" t="str">
        <x:v>t_end</x:v>
      </x:c>
      <x:c r="F9" s="14" t="str">
        <x:v>End-to-end latency stop event.</x:v>
      </x:c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8" hidden="0" customWidth="1"/>
    <x:col min="4" max="4" width="28" hidden="0" customWidth="1"/>
    <x:col min="5" max="5" width="30" hidden="0" customWidth="1"/>
    <x:col min="6" max="6" width="28" hidden="0" customWidth="1"/>
    <x:col min="7" max="7" width="12" hidden="0" customWidth="1"/>
  </x:cols>
  <x:sheetData>
    <x:row r="1">
      <x:c r="A1" s="20" t="str">
        <x:v>Provider/Tool</x:v>
      </x:c>
      <x:c r="B1" s="20" t="str">
        <x:v>Surface</x:v>
      </x:c>
      <x:c r="C1" s="20" t="str">
        <x:v>Reasoning visibility</x:v>
      </x:c>
      <x:c r="D1" s="20" t="str">
        <x:v>Summary visibility</x:v>
      </x:c>
      <x:c r="E1" s="20" t="str">
        <x:v>Answer event</x:v>
      </x:c>
      <x:c r="F1" s="20" t="str">
        <x:v>Token accounting</x:v>
      </x:c>
      <x:c r="G1" s="20" t="str">
        <x:v>Source</x:v>
      </x:c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NVIDIA AIPerf</x:v>
      </x:c>
      <x:c r="B2" s="14" t="str">
        <x:v>benchmark parser</x:v>
      </x:c>
      <x:c r="C2" s="14" t="str">
        <x:v>separate reasoning supported</x:v>
      </x:c>
      <x:c r="D2" s="14" t="str">
        <x:v>backend-dependent</x:v>
      </x:c>
      <x:c r="E2" s="14" t="str">
        <x:v>TTFO = first non-reasoning output</x:v>
      </x:c>
      <x:c r="F2" s="14" t="str">
        <x:v>reasoning + output distinctions</x:v>
      </x:c>
      <x:c r="G2" s="14" t="str">
        <x:v>S01/S02</x:v>
      </x:c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OpenAI Responses</x:v>
      </x:c>
      <x:c r="B3" s="14" t="str">
        <x:v>API stream</x:v>
      </x:c>
      <x:c r="C3" s="14" t="str">
        <x:v>conditional/model-dependent</x:v>
      </x:c>
      <x:c r="D3" s="14" t="str">
        <x:v>reasoning summary events available</x:v>
      </x:c>
      <x:c r="E3" s="14" t="str">
        <x:v>output_text events separate</x:v>
      </x:c>
      <x:c r="F3" s="14" t="str">
        <x:v>reasoning_tokens in usage</x:v>
      </x:c>
      <x:c r="G3" s="14" t="str">
        <x:v>S03</x:v>
      </x:c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Gemini Interactions</x:v>
      </x:c>
      <x:c r="B4" s="14" t="str">
        <x:v>API stream</x:v>
      </x:c>
      <x:c r="C4" s="14" t="str">
        <x:v>raw thought not claimed</x:v>
      </x:c>
      <x:c r="D4" s="14" t="str">
        <x:v>thought_summary can stream</x:v>
      </x:c>
      <x:c r="E4" s="14" t="str">
        <x:v>model_output separate</x:v>
      </x:c>
      <x:c r="F4" s="14" t="str">
        <x:v>thought + output usage fields</x:v>
      </x:c>
      <x:c r="G4" s="14" t="str">
        <x:v>S04/S05/S06</x:v>
      </x:c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 t="str">
        <x:v>vLLM</x:v>
      </x:c>
      <x:c r="B5" s="14" t="str">
        <x:v>serving runtime</x:v>
      </x:c>
      <x:c r="C5" s="14" t="str">
        <x:v>reasoning field for supported parsers</x:v>
      </x:c>
      <x:c r="D5" s="14" t="str">
        <x:v>no generic guarantee</x:v>
      </x:c>
      <x:c r="E5" s="14" t="str">
        <x:v>content separate</x:v>
      </x:c>
      <x:c r="F5" s="14" t="str">
        <x:v>backend/model dependent</x:v>
      </x:c>
      <x:c r="G5" s="14" t="str">
        <x:v>S07</x:v>
      </x:c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 t="str">
        <x:v>MLPerf v6.0</x:v>
      </x:c>
      <x:c r="B6" s="14" t="str">
        <x:v>benchmark suite</x:v>
      </x:c>
      <x:c r="C6" s="14" t="str">
        <x:v>not normalized here</x:v>
      </x:c>
      <x:c r="D6" s="14" t="str">
        <x:v>not normalized here</x:v>
      </x:c>
      <x:c r="E6" s="14" t="str">
        <x:v>TTFT/TPOT used in reasoning workloads</x:v>
      </x:c>
      <x:c r="F6" s="14" t="str">
        <x:v>benchmark-defined</x:v>
      </x:c>
      <x:c r="G6" s="14" t="str">
        <x:v>S08</x:v>
      </x:c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2" hidden="0" customWidth="1"/>
    <x:col min="4" max="4" width="34" hidden="0" customWidth="1"/>
    <x:col min="5" max="5" width="22" hidden="0" customWidth="1"/>
    <x:col min="6" max="6" width="25" hidden="0" customWidth="1"/>
    <x:col min="7" max="7" width="30" hidden="0" customWidth="1"/>
  </x:cols>
  <x:sheetData>
    <x:row r="1">
      <x:c r="A1" s="20" t="str">
        <x:v>Metric</x:v>
      </x:c>
      <x:c r="B1" s="20" t="str">
        <x:v>Definition</x:v>
      </x:c>
      <x:c r="C1" s="20" t="str">
        <x:v>Start</x:v>
      </x:c>
      <x:c r="D1" s="20" t="str">
        <x:v>Stop</x:v>
      </x:c>
      <x:c r="E1" s="20" t="str">
        <x:v>Reasoning included?</x:v>
      </x:c>
      <x:c r="F1" s="20" t="str">
        <x:v>Applicability</x:v>
      </x:c>
      <x:c r="G1" s="20" t="str">
        <x:v>Status</x:v>
      </x:c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TTFT (AIPerf)</x:v>
      </x:c>
      <x:c r="B2" s="14" t="str">
        <x:v>time to first token/chunk</x:v>
      </x:c>
      <x:c r="C2" s="14" t="str">
        <x:v>request send</x:v>
      </x:c>
      <x:c r="D2" s="14" t="str">
        <x:v>first non-empty content response</x:v>
      </x:c>
      <x:c r="E2" s="14" t="str">
        <x:v>YES if separately exposed</x:v>
      </x:c>
      <x:c r="F2" s="14" t="str">
        <x:v>streaming</x:v>
      </x:c>
      <x:c r="G2" s="14" t="str">
        <x:v>CURRENT TOOL DEFINITION</x:v>
      </x:c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TTFO (AIPerf)</x:v>
      </x:c>
      <x:c r="B3" s="14" t="str">
        <x:v>time to first non-reasoning output</x:v>
      </x:c>
      <x:c r="C3" s="14" t="str">
        <x:v>request send</x:v>
      </x:c>
      <x:c r="D3" s="14" t="str">
        <x:v>first non-reasoning output</x:v>
      </x:c>
      <x:c r="E3" s="14" t="str">
        <x:v>NO</x:v>
      </x:c>
      <x:c r="F3" s="14" t="str">
        <x:v>reasoning-aware streaming</x:v>
      </x:c>
      <x:c r="G3" s="14" t="str">
        <x:v>CURRENT TOOL DEFINITION</x:v>
      </x:c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ΔR→O</x:v>
      </x:c>
      <x:c r="B4" s="14" t="str">
        <x:v>TTFO - TTFT</x:v>
      </x:c>
      <x:c r="C4" s="14" t="str">
        <x:v>TTFT event</x:v>
      </x:c>
      <x:c r="D4" s="14" t="str">
        <x:v>TTFO event</x:v>
      </x:c>
      <x:c r="E4" s="14" t="str">
        <x:v>N/A</x:v>
      </x:c>
      <x:c r="F4" s="14" t="str">
        <x:v>only when both observable</x:v>
      </x:c>
      <x:c r="G4" s="14" t="str">
        <x:v>PROPOSED ANALYTICAL FIELD</x:v>
      </x:c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 t="str">
        <x:v>E2E</x:v>
      </x:c>
      <x:c r="B5" s="14" t="str">
        <x:v>completion - request start</x:v>
      </x:c>
      <x:c r="C5" s="14" t="str">
        <x:v>request send</x:v>
      </x:c>
      <x:c r="D5" s="14" t="str">
        <x:v>completion</x:v>
      </x:c>
      <x:c r="E5" s="14" t="str">
        <x:v>all client-observed phases</x:v>
      </x:c>
      <x:c r="F5" s="14" t="str">
        <x:v>all requests</x:v>
      </x:c>
      <x:c r="G5" s="14" t="str">
        <x:v>STANDARD CONCEPT</x:v>
      </x:c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 t="str">
        <x:v>TTFO SLO goodput</x:v>
      </x:c>
      <x:c r="B6" s="14" t="str">
        <x:v>requests meeting TTFO SLO / interval</x:v>
      </x:c>
      <x:c r="C6" s="14" t="str">
        <x:v>run start</x:v>
      </x:c>
      <x:c r="D6" s="14" t="str">
        <x:v>run end</x:v>
      </x:c>
      <x:c r="E6" s="14" t="str">
        <x:v>N/A</x:v>
      </x:c>
      <x:c r="F6" s="14" t="str">
        <x:v>capacity/SLO studies</x:v>
      </x:c>
      <x:c r="G6" s="14" t="str">
        <x:v>PROPOSED APPLICATION</x:v>
      </x:c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6" hidden="0" customWidth="1"/>
    <x:col min="5" max="5" width="52" hidden="0" customWidth="1"/>
  </x:cols>
  <x:sheetData>
    <x:row r="1">
      <x:c r="A1" s="20" t="str">
        <x:v>Event</x:v>
      </x:c>
      <x:c r="B1" s="20" t="str">
        <x:v>Timestamp_ms</x:v>
      </x:c>
      <x:c r="C1" s="20" t="str">
        <x:v>Type</x:v>
      </x:c>
      <x:c r="D1" s="20" t="str">
        <x:v>Observable</x:v>
      </x:c>
      <x:c r="E1" s="20" t="str">
        <x:v>Notes</x:v>
      </x:c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REQUEST_SENT</x:v>
      </x:c>
      <x:c r="B2" s="14" t="n">
        <x:v>0</x:v>
      </x:c>
      <x:c r="C2" s="14" t="str">
        <x:v>lifecycle</x:v>
      </x:c>
      <x:c r="D2" s="14" t="str">
        <x:v>YES</x:v>
      </x:c>
      <x:c r="E2" s="14" t="str">
        <x:v>synthetic</x:v>
      </x:c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FIRST_RESPONSE_EVENT</x:v>
      </x:c>
      <x:c r="B3" s="14" t="n">
        <x:v>80</x:v>
      </x:c>
      <x:c r="C3" s="14" t="str">
        <x:v>metadata</x:v>
      </x:c>
      <x:c r="D3" s="14" t="str">
        <x:v>YES</x:v>
      </x:c>
      <x:c r="E3" s="14" t="str">
        <x:v>not content</x:v>
      </x:c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FIRST_ANY_CONTENT</x:v>
      </x:c>
      <x:c r="B4" s="14" t="n">
        <x:v>150</x:v>
      </x:c>
      <x:c r="C4" s="14" t="str">
        <x:v>reasoning</x:v>
      </x:c>
      <x:c r="D4" s="14" t="str">
        <x:v>YES</x:v>
      </x:c>
      <x:c r="E4" s="14" t="str">
        <x:v>TTFT stop under AIPerf-style semantics</x:v>
      </x:c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 t="str">
        <x:v>FIRST_REASONING_CONTENT</x:v>
      </x:c>
      <x:c r="B5" s="14" t="n">
        <x:v>150</x:v>
      </x:c>
      <x:c r="C5" s="14" t="str">
        <x:v>reasoning</x:v>
      </x:c>
      <x:c r="D5" s="14" t="str">
        <x:v>YES</x:v>
      </x:c>
      <x:c r="E5" s="14" t="str">
        <x:v>exposed reasoning</x:v>
      </x:c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 t="str">
        <x:v>FIRST_NON_REASONING_OUTPUT</x:v>
      </x:c>
      <x:c r="B6" s="14" t="n">
        <x:v>2200</x:v>
      </x:c>
      <x:c r="C6" s="14" t="str">
        <x:v>answer</x:v>
      </x:c>
      <x:c r="D6" s="14" t="str">
        <x:v>YES</x:v>
      </x:c>
      <x:c r="E6" s="14" t="str">
        <x:v>TTFO stop</x:v>
      </x:c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 t="str">
        <x:v>COMPLETED</x:v>
      </x:c>
      <x:c r="B7" s="14" t="n">
        <x:v>4200</x:v>
      </x:c>
      <x:c r="C7" s="14" t="str">
        <x:v>lifecycle</x:v>
      </x:c>
      <x:c r="D7" s="14" t="str">
        <x:v>YES</x:v>
      </x:c>
      <x:c r="E7" s="14" t="str">
        <x:v>E2E stop</x:v>
      </x:c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6" hidden="0" customWidth="1"/>
    <x:col min="5" max="5" width="52" hidden="0" customWidth="1"/>
  </x:cols>
  <x:sheetData>
    <x:row r="1">
      <x:c r="A1" s="20" t="str">
        <x:v>Event</x:v>
      </x:c>
      <x:c r="B1" s="20" t="str">
        <x:v>Timestamp_ms</x:v>
      </x:c>
      <x:c r="C1" s="20" t="str">
        <x:v>Type</x:v>
      </x:c>
      <x:c r="D1" s="20" t="str">
        <x:v>Observable</x:v>
      </x:c>
      <x:c r="E1" s="20" t="str">
        <x:v>Notes</x:v>
      </x:c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REQUEST_SENT</x:v>
      </x:c>
      <x:c r="B2" s="14" t="n">
        <x:v>0</x:v>
      </x:c>
      <x:c r="C2" s="14" t="str">
        <x:v>lifecycle</x:v>
      </x:c>
      <x:c r="D2" s="14" t="str">
        <x:v>YES</x:v>
      </x:c>
      <x:c r="E2" s="14" t="str">
        <x:v>synthetic</x:v>
      </x:c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FIRST_RESPONSE_EVENT</x:v>
      </x:c>
      <x:c r="B3" s="14" t="n">
        <x:v>120</x:v>
      </x:c>
      <x:c r="C3" s="14" t="str">
        <x:v>metadata</x:v>
      </x:c>
      <x:c r="D3" s="14" t="str">
        <x:v>YES</x:v>
      </x:c>
      <x:c r="E3" s="14" t="str">
        <x:v>not content</x:v>
      </x:c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FIRST_ANY_CONTENT</x:v>
      </x:c>
      <x:c r="B4" s="14" t="n">
        <x:v>600</x:v>
      </x:c>
      <x:c r="C4" s="14" t="str">
        <x:v>answer</x:v>
      </x:c>
      <x:c r="D4" s="14" t="str">
        <x:v>YES</x:v>
      </x:c>
      <x:c r="E4" s="14" t="str">
        <x:v>same as first answer</x:v>
      </x:c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 t="str">
        <x:v>FIRST_REASONING_CONTENT</x:v>
      </x:c>
      <x:c r="B5" s="14" t="str">
        <x:v>NOT OBSERVABLE</x:v>
      </x:c>
      <x:c r="C5" s="14" t="str">
        <x:v>reasoning</x:v>
      </x:c>
      <x:c r="D5" s="14" t="str">
        <x:v>NO</x:v>
      </x:c>
      <x:c r="E5" s="14" t="str">
        <x:v>hidden/no exposed reasoning</x:v>
      </x:c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 t="str">
        <x:v>FIRST_NON_REASONING_OUTPUT</x:v>
      </x:c>
      <x:c r="B6" s="14" t="n">
        <x:v>600</x:v>
      </x:c>
      <x:c r="C6" s="14" t="str">
        <x:v>answer</x:v>
      </x:c>
      <x:c r="D6" s="14" t="str">
        <x:v>YES</x:v>
      </x:c>
      <x:c r="E6" s="14" t="str">
        <x:v>TTFT=TTFO</x:v>
      </x:c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 t="str">
        <x:v>COMPLETED</x:v>
      </x:c>
      <x:c r="B7" s="14" t="n">
        <x:v>2800</x:v>
      </x:c>
      <x:c r="C7" s="14" t="str">
        <x:v>lifecycle</x:v>
      </x:c>
      <x:c r="D7" s="14" t="str">
        <x:v>YES</x:v>
      </x:c>
      <x:c r="E7" s="14" t="str">
        <x:v>E2E stop</x:v>
      </x:c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20" t="str">
        <x:v>System</x:v>
      </x:c>
      <x:c r="B1" s="20" t="str">
        <x:v>t0_ms</x:v>
      </x:c>
      <x:c r="C1" s="20" t="str">
        <x:v>first_any_ms</x:v>
      </x:c>
      <x:c r="D1" s="20" t="str">
        <x:v>first_answer_ms</x:v>
      </x:c>
      <x:c r="E1" s="20" t="str">
        <x:v>complete_ms</x:v>
      </x:c>
      <x:c r="F1" s="20" t="str">
        <x:v>TTFT_ms</x:v>
      </x:c>
      <x:c r="G1" s="20" t="str">
        <x:v>TTFO_ms</x:v>
      </x:c>
      <x:c r="H1" s="20" t="str">
        <x:v>Gap_ms</x:v>
      </x:c>
      <x:c r="I1" s="20" t="str">
        <x:v>Gap_share</x:v>
      </x:c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A</x:v>
      </x:c>
      <x:c r="B2" s="14" t="n">
        <x:v>0</x:v>
      </x:c>
      <x:c r="C2" s="14" t="n">
        <x:v>150</x:v>
      </x:c>
      <x:c r="D2" s="14" t="n">
        <x:v>2200</x:v>
      </x:c>
      <x:c r="E2" s="14" t="n">
        <x:v>4200</x:v>
      </x:c>
      <x:c r="F2" s="14" t="n">
        <x:f>C2-B2</x:f>
        <x:v>150</x:v>
      </x:c>
      <x:c r="G2" s="14" t="n">
        <x:f>D2-B2</x:f>
        <x:v>2200</x:v>
      </x:c>
      <x:c r="H2" s="14" t="n">
        <x:f>G2-F2</x:f>
        <x:v>2050</x:v>
      </x:c>
      <x:c r="I2" s="28" t="n">
        <x:f>IF(G2=0,0,H2/G2)</x:f>
        <x:v>0.9318181818181818</x:v>
      </x:c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B</x:v>
      </x:c>
      <x:c r="B3" s="14" t="n">
        <x:v>0</x:v>
      </x:c>
      <x:c r="C3" s="14" t="n">
        <x:v>600</x:v>
      </x:c>
      <x:c r="D3" s="14" t="n">
        <x:v>600</x:v>
      </x:c>
      <x:c r="E3" s="14" t="n">
        <x:v>2800</x:v>
      </x:c>
      <x:c r="F3" s="14" t="n">
        <x:f>C3-B3</x:f>
        <x:v>600</x:v>
      </x:c>
      <x:c r="G3" s="14" t="n">
        <x:f>D3-B3</x:f>
        <x:v>600</x:v>
      </x:c>
      <x:c r="H3" s="14" t="n">
        <x:f>G3-F3</x:f>
        <x:v>0</x:v>
      </x:c>
      <x:c r="I3" s="28" t="n">
        <x:f>IF(G3=0,0,H3/G3)</x:f>
        <x:v>0</x:v>
      </x:c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20" t="str">
        <x:v>Comparison</x:v>
      </x:c>
      <x:c r="B1" s="20" t="str">
        <x:v>Winner</x:v>
      </x:c>
      <x:c r="C1" s="20" t="str">
        <x:v>Condition</x:v>
      </x:c>
      <x:c r="D1" s="20" t="str">
        <x:v>Result</x:v>
      </x:c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Winner by TTFT</x:v>
      </x:c>
      <x:c r="B2" s="14" t="str">
        <x:f>IF(TTFT_TTFO!F2&lt;TTFT_TTFO!F3,"A","B")</x:f>
        <x:v>A</x:v>
      </x:c>
      <x:c r="C2" s="14" t="str">
        <x:v>lower TTFT</x:v>
      </x:c>
      <x:c r="D2" s="14" t="str">
        <x:v>expected A</x:v>
      </x:c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Winner by TTFO</x:v>
      </x:c>
      <x:c r="B3" s="14" t="str">
        <x:f>IF(TTFT_TTFO!G2&lt;TTFT_TTFO!G3,"A","B")</x:f>
        <x:v>B</x:v>
      </x:c>
      <x:c r="C3" s="14" t="str">
        <x:v>lower TTFO</x:v>
      </x:c>
      <x:c r="D3" s="14" t="str">
        <x:v>expected B</x:v>
      </x:c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Rank reversal</x:v>
      </x:c>
      <x:c r="B4" s="4" t="str">
        <x:f>IF(B2&lt;&gt;B3,"YES","NO")</x:f>
        <x:v>YES</x:v>
      </x:c>
      <x:c r="C4" s="14" t="str">
        <x:v>winner labels differ</x:v>
      </x:c>
      <x:c r="D4" s="14" t="str">
        <x:v>expected YES</x:v>
      </x:c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 t="str">
        <x:v>Reversal inequality</x:v>
      </x:c>
      <x:c r="B5" s="14" t="n">
        <x:f>TTFT_TTFO!H2-TTFT_TTFO!H3</x:f>
        <x:v>2050</x:v>
      </x:c>
      <x:c r="C5" s="14" t="str">
        <x:v>ΔA-ΔB &gt; TTFT_B-TTFT_A</x:v>
      </x:c>
      <x:c r="D5" s="14" t="str">
        <x:v>2050 &gt; 450</x:v>
      </x:c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20" t="str">
        <x:v>Request</x:v>
      </x:c>
      <x:c r="B1" s="20" t="str">
        <x:v>TTFT_ms</x:v>
      </x:c>
      <x:c r="C1" s="20" t="str">
        <x:v>TTFO_ms</x:v>
      </x:c>
      <x:c r="D1" s="20" t="str">
        <x:v>E2E_ms</x:v>
      </x:c>
      <x:c r="E1" s="20" t="str">
        <x:v>TTFT_PASS</x:v>
      </x:c>
      <x:c r="F1" s="20" t="str">
        <x:v>TTFO_PASS</x:v>
      </x:c>
      <x:c r="G1" s="20" t="str">
        <x:v>E2E_PASS</x:v>
      </x:c>
      <x:c r="H1" s="14"/>
      <x:c r="I1" s="20" t="str">
        <x:v>SLO</x:v>
      </x:c>
      <x:c r="J1" s="20" t="str">
        <x:v>ms</x:v>
      </x:c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r01</x:v>
      </x:c>
      <x:c r="B2" s="14" t="n">
        <x:v>120</x:v>
      </x:c>
      <x:c r="C2" s="14" t="n">
        <x:v>650</x:v>
      </x:c>
      <x:c r="D2" s="14" t="n">
        <x:v>1800</x:v>
      </x:c>
      <x:c r="E2" s="14" t="str">
        <x:f>IF(B2&lt;=$J$2,"PASS","FAIL")</x:f>
        <x:v>PASS</x:v>
      </x:c>
      <x:c r="F2" s="14" t="str">
        <x:f>IF(C2&lt;=$J$3,"PASS","FAIL")</x:f>
        <x:v>PASS</x:v>
      </x:c>
      <x:c r="G2" s="14" t="str">
        <x:f>IF(D2&lt;=$J$4,"PASS","FAIL")</x:f>
        <x:v>PASS</x:v>
      </x:c>
      <x:c r="H2" s="14"/>
      <x:c r="I2" s="14" t="str">
        <x:v>TTFT</x:v>
      </x:c>
      <x:c r="J2" s="14" t="n">
        <x:v>300</x:v>
      </x:c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r02</x:v>
      </x:c>
      <x:c r="B3" s="14" t="n">
        <x:v>180</x:v>
      </x:c>
      <x:c r="C3" s="14" t="n">
        <x:v>780</x:v>
      </x:c>
      <x:c r="D3" s="14" t="n">
        <x:v>2100</x:v>
      </x:c>
      <x:c r="E3" s="14" t="str">
        <x:f>IF(B3&lt;=$J$2,"PASS","FAIL")</x:f>
        <x:v>PASS</x:v>
      </x:c>
      <x:c r="F3" s="14" t="str">
        <x:f>IF(C3&lt;=$J$3,"PASS","FAIL")</x:f>
        <x:v>PASS</x:v>
      </x:c>
      <x:c r="G3" s="14" t="str">
        <x:f>IF(D3&lt;=$J$4,"PASS","FAIL")</x:f>
        <x:v>PASS</x:v>
      </x:c>
      <x:c r="H3" s="14"/>
      <x:c r="I3" s="14" t="str">
        <x:v>TTFO</x:v>
      </x:c>
      <x:c r="J3" s="14" t="n">
        <x:v>1000</x:v>
      </x:c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r03</x:v>
      </x:c>
      <x:c r="B4" s="14" t="n">
        <x:v>250</x:v>
      </x:c>
      <x:c r="C4" s="14" t="n">
        <x:v>950</x:v>
      </x:c>
      <x:c r="D4" s="14" t="n">
        <x:v>2600</x:v>
      </x:c>
      <x:c r="E4" s="14" t="str">
        <x:f>IF(B4&lt;=$J$2,"PASS","FAIL")</x:f>
        <x:v>PASS</x:v>
      </x:c>
      <x:c r="F4" s="14" t="str">
        <x:f>IF(C4&lt;=$J$3,"PASS","FAIL")</x:f>
        <x:v>PASS</x:v>
      </x:c>
      <x:c r="G4" s="14" t="str">
        <x:f>IF(D4&lt;=$J$4,"PASS","FAIL")</x:f>
        <x:v>PASS</x:v>
      </x:c>
      <x:c r="H4" s="14"/>
      <x:c r="I4" s="14" t="str">
        <x:v>E2E</x:v>
      </x:c>
      <x:c r="J4" s="14" t="n">
        <x:v>3500</x:v>
      </x:c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 t="str">
        <x:v>r04</x:v>
      </x:c>
      <x:c r="B5" s="14" t="n">
        <x:v>290</x:v>
      </x:c>
      <x:c r="C5" s="14" t="n">
        <x:v>1200</x:v>
      </x:c>
      <x:c r="D5" s="14" t="n">
        <x:v>3200</x:v>
      </x:c>
      <x:c r="E5" s="14" t="str">
        <x:f>IF(B5&lt;=$J$2,"PASS","FAIL")</x:f>
        <x:v>PASS</x:v>
      </x:c>
      <x:c r="F5" s="14" t="str">
        <x:f>IF(C5&lt;=$J$3,"PASS","FAIL")</x:f>
        <x:v>FAIL</x:v>
      </x:c>
      <x:c r="G5" s="14" t="str">
        <x:f>IF(D5&lt;=$J$4,"PASS","FAIL")</x:f>
        <x:v>PASS</x:v>
      </x:c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 t="str">
        <x:v>r05</x:v>
      </x:c>
      <x:c r="B6" s="14" t="n">
        <x:v>310</x:v>
      </x:c>
      <x:c r="C6" s="14" t="n">
        <x:v>980</x:v>
      </x:c>
      <x:c r="D6" s="14" t="n">
        <x:v>2700</x:v>
      </x:c>
      <x:c r="E6" s="14" t="str">
        <x:f>IF(B6&lt;=$J$2,"PASS","FAIL")</x:f>
        <x:v>FAIL</x:v>
      </x:c>
      <x:c r="F6" s="14" t="str">
        <x:f>IF(C6&lt;=$J$3,"PASS","FAIL")</x:f>
        <x:v>PASS</x:v>
      </x:c>
      <x:c r="G6" s="14" t="str">
        <x:f>IF(D6&lt;=$J$4,"PASS","FAIL")</x:f>
        <x:v>PASS</x:v>
      </x:c>
      <x:c r="H6" s="14"/>
      <x:c r="I6" s="20" t="str">
        <x:v>Metric</x:v>
      </x:c>
      <x:c r="J6" s="20" t="str">
        <x:v>Value</x:v>
      </x:c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 t="str">
        <x:v>r06</x:v>
      </x:c>
      <x:c r="B7" s="14" t="n">
        <x:v>140</x:v>
      </x:c>
      <x:c r="C7" s="14" t="n">
        <x:v>720</x:v>
      </x:c>
      <x:c r="D7" s="14" t="n">
        <x:v>1900</x:v>
      </x:c>
      <x:c r="E7" s="14" t="str">
        <x:f>IF(B7&lt;=$J$2,"PASS","FAIL")</x:f>
        <x:v>PASS</x:v>
      </x:c>
      <x:c r="F7" s="14" t="str">
        <x:f>IF(C7&lt;=$J$3,"PASS","FAIL")</x:f>
        <x:v>PASS</x:v>
      </x:c>
      <x:c r="G7" s="14" t="str">
        <x:f>IF(D7&lt;=$J$4,"PASS","FAIL")</x:f>
        <x:v>PASS</x:v>
      </x:c>
      <x:c r="H7" s="14"/>
      <x:c r="I7" s="14" t="str">
        <x:v>Requests</x:v>
      </x:c>
      <x:c r="J7" s="14" t="n">
        <x:v>12</x:v>
      </x:c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 t="str">
        <x:v>r07</x:v>
      </x:c>
      <x:c r="B8" s="14" t="n">
        <x:v>200</x:v>
      </x:c>
      <x:c r="C8" s="14" t="n">
        <x:v>860</x:v>
      </x:c>
      <x:c r="D8" s="14" t="n">
        <x:v>2300</x:v>
      </x:c>
      <x:c r="E8" s="14" t="str">
        <x:f>IF(B8&lt;=$J$2,"PASS","FAIL")</x:f>
        <x:v>PASS</x:v>
      </x:c>
      <x:c r="F8" s="14" t="str">
        <x:f>IF(C8&lt;=$J$3,"PASS","FAIL")</x:f>
        <x:v>PASS</x:v>
      </x:c>
      <x:c r="G8" s="14" t="str">
        <x:f>IF(D8&lt;=$J$4,"PASS","FAIL")</x:f>
        <x:v>PASS</x:v>
      </x:c>
      <x:c r="H8" s="14"/>
      <x:c r="I8" s="14" t="str">
        <x:v>TTFT pass count</x:v>
      </x:c>
      <x:c r="J8" s="14" t="n">
        <x:f>COUNTIF(E2:E13,"PASS")</x:f>
        <x:v>10</x:v>
      </x:c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 t="str">
        <x:v>r08</x:v>
      </x:c>
      <x:c r="B9" s="14" t="n">
        <x:v>260</x:v>
      </x:c>
      <x:c r="C9" s="14" t="n">
        <x:v>1500</x:v>
      </x:c>
      <x:c r="D9" s="14" t="n">
        <x:v>3600</x:v>
      </x:c>
      <x:c r="E9" s="14" t="str">
        <x:f>IF(B9&lt;=$J$2,"PASS","FAIL")</x:f>
        <x:v>PASS</x:v>
      </x:c>
      <x:c r="F9" s="14" t="str">
        <x:f>IF(C9&lt;=$J$3,"PASS","FAIL")</x:f>
        <x:v>FAIL</x:v>
      </x:c>
      <x:c r="G9" s="14" t="str">
        <x:f>IF(D9&lt;=$J$4,"PASS","FAIL")</x:f>
        <x:v>FAIL</x:v>
      </x:c>
      <x:c r="H9" s="14"/>
      <x:c r="I9" s="14" t="str">
        <x:v>TTFO pass count</x:v>
      </x:c>
      <x:c r="J9" s="14" t="n">
        <x:f>COUNTIF(F2:F13,"PASS")</x:f>
        <x:v>9</x:v>
      </x:c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 t="str">
        <x:v>r09</x:v>
      </x:c>
      <x:c r="B10" s="14" t="n">
        <x:v>170</x:v>
      </x:c>
      <x:c r="C10" s="14" t="n">
        <x:v>640</x:v>
      </x:c>
      <x:c r="D10" s="14" t="n">
        <x:v>1700</x:v>
      </x:c>
      <x:c r="E10" s="14" t="str">
        <x:f>IF(B10&lt;=$J$2,"PASS","FAIL")</x:f>
        <x:v>PASS</x:v>
      </x:c>
      <x:c r="F10" s="14" t="str">
        <x:f>IF(C10&lt;=$J$3,"PASS","FAIL")</x:f>
        <x:v>PASS</x:v>
      </x:c>
      <x:c r="G10" s="14" t="str">
        <x:f>IF(D10&lt;=$J$4,"PASS","FAIL")</x:f>
        <x:v>PASS</x:v>
      </x:c>
      <x:c r="H10" s="14"/>
      <x:c r="I10" s="14" t="str">
        <x:v>All-three pass count</x:v>
      </x:c>
      <x:c r="J10" s="14" t="n">
        <x:f>COUNTIFS(E2:E13,"PASS",F2:F13,"PASS",G2:G13,"PASS")</x:f>
        <x:v>8</x:v>
      </x:c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 t="str">
        <x:v>r10</x:v>
      </x:c>
      <x:c r="B11" s="14" t="n">
        <x:v>280</x:v>
      </x:c>
      <x:c r="C11" s="14" t="n">
        <x:v>990</x:v>
      </x:c>
      <x:c r="D11" s="14" t="n">
        <x:v>3000</x:v>
      </x:c>
      <x:c r="E11" s="14" t="str">
        <x:f>IF(B11&lt;=$J$2,"PASS","FAIL")</x:f>
        <x:v>PASS</x:v>
      </x:c>
      <x:c r="F11" s="14" t="str">
        <x:f>IF(C11&lt;=$J$3,"PASS","FAIL")</x:f>
        <x:v>PASS</x:v>
      </x:c>
      <x:c r="G11" s="14" t="str">
        <x:f>IF(D11&lt;=$J$4,"PASS","FAIL")</x:f>
        <x:v>PASS</x:v>
      </x:c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 t="str">
        <x:v>r11</x:v>
      </x:c>
      <x:c r="B12" s="14" t="n">
        <x:v>450</x:v>
      </x:c>
      <x:c r="C12" s="14" t="n">
        <x:v>1300</x:v>
      </x:c>
      <x:c r="D12" s="14" t="n">
        <x:v>3900</x:v>
      </x:c>
      <x:c r="E12" s="14" t="str">
        <x:f>IF(B12&lt;=$J$2,"PASS","FAIL")</x:f>
        <x:v>FAIL</x:v>
      </x:c>
      <x:c r="F12" s="14" t="str">
        <x:f>IF(C12&lt;=$J$3,"PASS","FAIL")</x:f>
        <x:v>FAIL</x:v>
      </x:c>
      <x:c r="G12" s="14" t="str">
        <x:f>IF(D12&lt;=$J$4,"PASS","FAIL")</x:f>
        <x:v>FAIL</x:v>
      </x:c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 t="str">
        <x:v>r12</x:v>
      </x:c>
      <x:c r="B13" s="14" t="n">
        <x:v>220</x:v>
      </x:c>
      <x:c r="C13" s="14" t="n">
        <x:v>890</x:v>
      </x:c>
      <x:c r="D13" s="14" t="n">
        <x:v>2500</x:v>
      </x:c>
      <x:c r="E13" s="14" t="str">
        <x:f>IF(B13&lt;=$J$2,"PASS","FAIL")</x:f>
        <x:v>PASS</x:v>
      </x:c>
      <x:c r="F13" s="14" t="str">
        <x:f>IF(C13&lt;=$J$3,"PASS","FAIL")</x:f>
        <x:v>PASS</x:v>
      </x:c>
      <x:c r="G13" s="14" t="str">
        <x:f>IF(D13&lt;=$J$4,"PASS","FAIL")</x:f>
        <x:v>PASS</x:v>
      </x:c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40" hidden="0" customWidth="1"/>
  </x:cols>
  <x:sheetData>
    <x:row r="1">
      <x:c r="A1" s="20" t="str">
        <x:v>Trace</x:v>
      </x:c>
      <x:c r="B1" s="20" t="str">
        <x:v>Reasoning_ms</x:v>
      </x:c>
      <x:c r="C1" s="20" t="str">
        <x:v>Answer_ms</x:v>
      </x:c>
      <x:c r="D1" s="20" t="str">
        <x:v>Tool metric</x:v>
      </x:c>
      <x:c r="E1" s="20" t="str">
        <x:v>Reported_ms</x:v>
      </x:c>
      <x:c r="F1" s="20" t="str">
        <x:v>Semantic stop event</x:v>
      </x:c>
      <x:c r="G1" s="14"/>
      <x:c r="H1" s="20" t="str">
        <x:v>Check</x:v>
      </x:c>
      <x:c r="I1" s="20" t="str">
        <x:v>Result</x:v>
      </x:c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synthetic_trace_01</x:v>
      </x:c>
      <x:c r="B2" s="14" t="n">
        <x:v>180</x:v>
      </x:c>
      <x:c r="C2" s="14" t="n">
        <x:v>950</x:v>
      </x:c>
      <x:c r="D2" s="14" t="str">
        <x:v>GenAI-Perf TTFT</x:v>
      </x:c>
      <x:c r="E2" s="14" t="n">
        <x:v>950</x:v>
      </x:c>
      <x:c r="F2" s="14" t="str">
        <x:v>first non-reasoning output</x:v>
      </x:c>
      <x:c r="G2" s="14"/>
      <x:c r="H2" s="14" t="str">
        <x:v>GenAI TTFT = AIPerf TTFO</x:v>
      </x:c>
      <x:c r="I2" s="14" t="str">
        <x:f>IF(E2=E4,"YES","NO")</x:f>
        <x:v>YES</x:v>
      </x:c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synthetic_trace_01</x:v>
      </x:c>
      <x:c r="B3" s="14" t="n">
        <x:v>180</x:v>
      </x:c>
      <x:c r="C3" s="14" t="n">
        <x:v>950</x:v>
      </x:c>
      <x:c r="D3" s="14" t="str">
        <x:v>AIPerf TTFT</x:v>
      </x:c>
      <x:c r="E3" s="14" t="n">
        <x:v>180</x:v>
      </x:c>
      <x:c r="F3" s="14" t="str">
        <x:v>first token of any type</x:v>
      </x:c>
      <x:c r="G3" s="14"/>
      <x:c r="H3" s="14" t="str">
        <x:v>AIPerf TTFT shift vs old TTFT</x:v>
      </x:c>
      <x:c r="I3" s="14" t="n">
        <x:f>E3-E2</x:f>
        <x:v>-770</x:v>
      </x:c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synthetic_trace_01</x:v>
      </x:c>
      <x:c r="B4" s="14" t="n">
        <x:v>180</x:v>
      </x:c>
      <x:c r="C4" s="14" t="n">
        <x:v>950</x:v>
      </x:c>
      <x:c r="D4" s="14" t="str">
        <x:v>AIPerf TTFO</x:v>
      </x:c>
      <x:c r="E4" s="14" t="n">
        <x:v>950</x:v>
      </x:c>
      <x:c r="F4" s="14" t="str">
        <x:v>first non-reasoning output</x:v>
      </x:c>
      <x:c r="G4" s="14"/>
      <x:c r="H4" s="14" t="str">
        <x:v>Comparison safe old TTFT vs new TTFT?</x:v>
      </x:c>
      <x:c r="I4" s="4" t="str">
        <x:f>IF(E2=E3,"COMPARISON SAFE","SEMANTICS DIFFER")</x:f>
        <x:v>SEMANTICS DIFFER</x:v>
      </x:c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0" t="str">
        <x:v>Case</x:v>
      </x:c>
      <x:c r="B1" s="20" t="str">
        <x:v>A_TTFT</x:v>
      </x:c>
      <x:c r="C1" s="20" t="str">
        <x:v>A_TTFO</x:v>
      </x:c>
      <x:c r="D1" s="20" t="str">
        <x:v>B_TTFT</x:v>
      </x:c>
      <x:c r="E1" s="20" t="str">
        <x:v>B_TTFO</x:v>
      </x:c>
      <x:c r="F1" s="20" t="str">
        <x:v>Winner_TTFT</x:v>
      </x:c>
      <x:c r="G1" s="20" t="str">
        <x:v>Winner_TTFO</x:v>
      </x:c>
      <x:c r="H1" s="20" t="str">
        <x:v>Reversal</x:v>
      </x:c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base</x:v>
      </x:c>
      <x:c r="B2" s="14" t="n">
        <x:v>150</x:v>
      </x:c>
      <x:c r="C2" s="14" t="n">
        <x:v>2200</x:v>
      </x:c>
      <x:c r="D2" s="14" t="n">
        <x:v>600</x:v>
      </x:c>
      <x:c r="E2" s="14" t="n">
        <x:v>600</x:v>
      </x:c>
      <x:c r="F2" s="14" t="str">
        <x:f>IF(OR(B2="NOT OBSERVABLE",D2="NOT OBSERVABLE"),"INSUFFICIENT",IF(B2&lt;D2,"A",IF(B2&gt;D2,"B","TIE")))</x:f>
        <x:v>A</x:v>
      </x:c>
      <x:c r="G2" s="14" t="str">
        <x:f>IF(OR(C2="NOT OBSERVABLE",E2="NOT OBSERVABLE"),"INSUFFICIENT",IF(C2&lt;E2,"A",IF(C2&gt;E2,"B","TIE")))</x:f>
        <x:v>B</x:v>
      </x:c>
      <x:c r="H2" s="14" t="str">
        <x:f>IF(OR(F2="INSUFFICIENT",G2="INSUFFICIENT"),"INSUFFICIENT EVENT DATA",IF(F2&lt;&gt;G2,"YES","NO"))</x:f>
        <x:v>YES</x:v>
      </x:c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same_TTFT_diff_TTFO</x:v>
      </x:c>
      <x:c r="B3" s="14" t="n">
        <x:v>150</x:v>
      </x:c>
      <x:c r="C3" s="14" t="n">
        <x:v>500</x:v>
      </x:c>
      <x:c r="D3" s="14" t="n">
        <x:v>150</x:v>
      </x:c>
      <x:c r="E3" s="14" t="n">
        <x:v>4000</x:v>
      </x:c>
      <x:c r="F3" s="14" t="str">
        <x:f>IF(OR(B3="NOT OBSERVABLE",D3="NOT OBSERVABLE"),"INSUFFICIENT",IF(B3&lt;D3,"A",IF(B3&gt;D3,"B","TIE")))</x:f>
        <x:v>TIE</x:v>
      </x:c>
      <x:c r="G3" s="14" t="str">
        <x:f>IF(OR(C3="NOT OBSERVABLE",E3="NOT OBSERVABLE"),"INSUFFICIENT",IF(C3&lt;E3,"A",IF(C3&gt;E3,"B","TIE")))</x:f>
        <x:v>A</x:v>
      </x:c>
      <x:c r="H3" s="14" t="str">
        <x:f>IF(OR(F3="INSUFFICIENT",G3="INSUFFICIENT"),"INSUFFICIENT EVENT DATA",IF(F3&lt;&gt;G3,"YES","NO"))</x:f>
        <x:v>YES</x:v>
      </x:c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same_TTFO_diff_TTFT</x:v>
      </x:c>
      <x:c r="B4" s="14" t="n">
        <x:v>150</x:v>
      </x:c>
      <x:c r="C4" s="14" t="n">
        <x:v>1000</x:v>
      </x:c>
      <x:c r="D4" s="14" t="n">
        <x:v>700</x:v>
      </x:c>
      <x:c r="E4" s="14" t="n">
        <x:v>1000</x:v>
      </x:c>
      <x:c r="F4" s="14" t="str">
        <x:f>IF(OR(B4="NOT OBSERVABLE",D4="NOT OBSERVABLE"),"INSUFFICIENT",IF(B4&lt;D4,"A",IF(B4&gt;D4,"B","TIE")))</x:f>
        <x:v>A</x:v>
      </x:c>
      <x:c r="G4" s="14" t="str">
        <x:f>IF(OR(C4="NOT OBSERVABLE",E4="NOT OBSERVABLE"),"INSUFFICIENT",IF(C4&lt;E4,"A",IF(C4&gt;E4,"B","TIE")))</x:f>
        <x:v>TIE</x:v>
      </x:c>
      <x:c r="H4" s="14" t="str">
        <x:f>IF(OR(F4="INSUFFICIENT",G4="INSUFFICIENT"),"INSUFFICIENT EVENT DATA",IF(F4&lt;&gt;G4,"YES","NO"))</x:f>
        <x:v>YES</x:v>
      </x:c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 t="str">
        <x:v>hidden_equal</x:v>
      </x:c>
      <x:c r="B5" s="14" t="n">
        <x:v>650</x:v>
      </x:c>
      <x:c r="C5" s="14" t="n">
        <x:v>650</x:v>
      </x:c>
      <x:c r="D5" s="14" t="n">
        <x:v>700</x:v>
      </x:c>
      <x:c r="E5" s="14" t="n">
        <x:v>700</x:v>
      </x:c>
      <x:c r="F5" s="14" t="str">
        <x:f>IF(OR(B5="NOT OBSERVABLE",D5="NOT OBSERVABLE"),"INSUFFICIENT",IF(B5&lt;D5,"A",IF(B5&gt;D5,"B","TIE")))</x:f>
        <x:v>A</x:v>
      </x:c>
      <x:c r="G5" s="14" t="str">
        <x:f>IF(OR(C5="NOT OBSERVABLE",E5="NOT OBSERVABLE"),"INSUFFICIENT",IF(C5&lt;E5,"A",IF(C5&gt;E5,"B","TIE")))</x:f>
        <x:v>A</x:v>
      </x:c>
      <x:c r="H5" s="14" t="str">
        <x:f>IF(OR(F5="INSUFFICIENT",G5="INSUFFICIENT"),"INSUFFICIENT EVENT DATA",IF(F5&lt;&gt;G5,"YES","NO"))</x:f>
        <x:v>NO</x:v>
      </x:c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 t="str">
        <x:v>unknown_answer</x:v>
      </x:c>
      <x:c r="B6" s="14" t="n">
        <x:v>150</x:v>
      </x:c>
      <x:c r="C6" s="14" t="str">
        <x:v>NOT OBSERVABLE</x:v>
      </x:c>
      <x:c r="D6" s="14" t="n">
        <x:v>600</x:v>
      </x:c>
      <x:c r="E6" s="14" t="n">
        <x:v>600</x:v>
      </x:c>
      <x:c r="F6" s="14" t="str">
        <x:f>IF(OR(B6="NOT OBSERVABLE",D6="NOT OBSERVABLE"),"INSUFFICIENT",IF(B6&lt;D6,"A",IF(B6&gt;D6,"B","TIE")))</x:f>
        <x:v>A</x:v>
      </x:c>
      <x:c r="G6" s="14" t="str">
        <x:f>IF(OR(C6="NOT OBSERVABLE",E6="NOT OBSERVABLE"),"INSUFFICIENT",IF(C6&lt;E6,"A",IF(C6&gt;E6,"B","TIE")))</x:f>
        <x:v>INSUFFICIENT</x:v>
      </x:c>
      <x:c r="H6" s="14" t="str">
        <x:f>IF(OR(F6="INSUFFICIENT",G6="INSUFFICIENT"),"INSUFFICIENT EVENT DATA",IF(F6&lt;&gt;G6,"YES","NO"))</x:f>
        <x:v>INSUFFICIENT EVENT DATA</x:v>
      </x:c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</x:sheetData>
  <x:conditionalFormatting sqref="H2:H6">
    <x:cfRule type="expression" dxfId="0" priority="1">
      <x:formula>H2="YES"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4" hidden="0" customWidth="1"/>
    <x:col min="4" max="4" width="60" hidden="0" customWidth="1"/>
    <x:col min="5" max="5" width="14" hidden="0" customWidth="1"/>
    <x:col min="6" max="6" width="28" hidden="0" customWidth="1"/>
    <x:col min="7" max="7" width="72" hidden="0" customWidth="1"/>
  </x:cols>
  <x:sheetData>
    <x:row r="1">
      <x:c r="A1" s="20" t="str">
        <x:v>ID</x:v>
      </x:c>
      <x:c r="B1" s="20" t="str">
        <x:v>Organization</x:v>
      </x:c>
      <x:c r="C1" s="20" t="str">
        <x:v>Title</x:v>
      </x:c>
      <x:c r="D1" s="20" t="str">
        <x:v>URL</x:v>
      </x:c>
      <x:c r="E1" s="20" t="str">
        <x:v>Accessed</x:v>
      </x:c>
      <x:c r="F1" s="20" t="str">
        <x:v>Version/date</x:v>
      </x:c>
      <x:c r="G1" s="20" t="str">
        <x:v>Claims supported</x:v>
      </x:c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4" t="str">
        <x:v>S01</x:v>
      </x:c>
      <x:c r="B2" s="14" t="str">
        <x:v>NVIDIA</x:v>
      </x:c>
      <x:c r="C2" s="14" t="str">
        <x:v>AIPerf Metrics Reference</x:v>
      </x:c>
      <x:c r="D2" s="14" t="str">
        <x:v>https://docs.nvidia.com/aiperf/reference/ai-perf-metrics-reference</x:v>
      </x:c>
      <x:c r="E2" s="14" t="str">
        <x:v>2026-08-11</x:v>
      </x:c>
      <x:c r="F2" s="14" t="str">
        <x:v>current docs accessed 2026-08-11</x:v>
      </x:c>
      <x:c r="G2" s="14" t="str">
        <x:v>AIPerf TTFT = first non-empty content response; TTFO = first non-reasoning output; OSL/output/reasoning token distinctions; usage reasoning tokens.</x:v>
      </x:c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  <x:row r="3">
      <x:c r="A3" s="14" t="str">
        <x:v>S02</x:v>
      </x:c>
      <x:c r="B3" s="14" t="str">
        <x:v>NVIDIA</x:v>
      </x:c>
      <x:c r="C3" s="14" t="str">
        <x:v>Migrating from GenAI-Perf</x:v>
      </x:c>
      <x:c r="D3" s="14" t="str">
        <x:v>https://docs.nvidia.com/aiperf/getting-started/migrating-from-gen-ai-perf</x:v>
      </x:c>
      <x:c r="E3" s="14" t="str">
        <x:v>2026-08-11</x:v>
      </x:c>
      <x:c r="F3" s="14" t="str">
        <x:v>current docs accessed 2026-08-11</x:v>
      </x:c>
      <x:c r="G3" s="14" t="str">
        <x:v>For reasoning-capable models GenAI-Perf TTFT maps to AIPerf TTFO; AIPerf TTFT includes reasoning; AIPerf OSL includes reasoning while Output Token Count excludes it.</x:v>
      </x:c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4"/>
      <x:c r="W3" s="14"/>
      <x:c r="X3" s="14"/>
      <x:c r="Y3" s="14"/>
      <x:c r="Z3" s="14"/>
    </x:row>
    <x:row r="4">
      <x:c r="A4" s="14" t="str">
        <x:v>S03</x:v>
      </x:c>
      <x:c r="B4" s="14" t="str">
        <x:v>OpenAI</x:v>
      </x:c>
      <x:c r="C4" s="14" t="str">
        <x:v>Responses API streaming events</x:v>
      </x:c>
      <x:c r="D4" s="14" t="str">
        <x:v>https://platform.openai.com/docs/api-reference/responses-streaming</x:v>
      </x:c>
      <x:c r="E4" s="14" t="str">
        <x:v>2026-08-11</x:v>
      </x:c>
      <x:c r="F4" s="14" t="str">
        <x:v>current docs accessed 2026-08-11</x:v>
      </x:c>
      <x:c r="G4" s="14" t="str">
        <x:v>Separate streaming event types exist for reasoning summaries and output text; response usage includes output_tokens_details.reasoning_tokens; reasoning effort/summary configuration exists.</x:v>
      </x:c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</x:row>
    <x:row r="5">
      <x:c r="A5" s="14" t="str">
        <x:v>S04</x:v>
      </x:c>
      <x:c r="B5" s="14" t="str">
        <x:v>Google</x:v>
      </x:c>
      <x:c r="C5" s="14" t="str">
        <x:v>Gemini API streaming interactions</x:v>
      </x:c>
      <x:c r="D5" s="14" t="str">
        <x:v>https://ai.google.dev/gemini-api/docs/streaming</x:v>
      </x:c>
      <x:c r="E5" s="14" t="str">
        <x:v>2026-08-11</x:v>
      </x:c>
      <x:c r="F5" s="14" t="str">
        <x:v>current docs accessed 2026-08-11</x:v>
      </x:c>
      <x:c r="G5" s="14" t="str">
        <x:v>Thinking streams can emit thought_summary deltas and thought_signature before model_output; summaries are distinct event types.</x:v>
      </x:c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</x:row>
    <x:row r="6">
      <x:c r="A6" s="14" t="str">
        <x:v>S05</x:v>
      </x:c>
      <x:c r="B6" s="14" t="str">
        <x:v>Google</x:v>
      </x:c>
      <x:c r="C6" s="14" t="str">
        <x:v>Gemini thinking</x:v>
      </x:c>
      <x:c r="D6" s="14" t="str">
        <x:v>https://ai.google.dev/gemini-api/docs/thinking</x:v>
      </x:c>
      <x:c r="E6" s="14" t="str">
        <x:v>2026-08-11</x:v>
      </x:c>
      <x:c r="F6" s="14" t="str">
        <x:v>current docs accessed 2026-08-11</x:v>
      </x:c>
      <x:c r="G6" s="14" t="str">
        <x:v>Thought summaries are summaries rather than raw thoughts; thinking configuration can change reasoning work and latency.</x:v>
      </x:c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</x:row>
    <x:row r="7">
      <x:c r="A7" s="14" t="str">
        <x:v>S06</x:v>
      </x:c>
      <x:c r="B7" s="14" t="str">
        <x:v>Google</x:v>
      </x:c>
      <x:c r="C7" s="14" t="str">
        <x:v>Gemini token counting</x:v>
      </x:c>
      <x:c r="D7" s="14" t="str">
        <x:v>https://ai.google.dev/gemini-api/docs/tokens</x:v>
      </x:c>
      <x:c r="E7" s="14" t="str">
        <x:v>2026-08-11</x:v>
      </x:c>
      <x:c r="F7" s="14" t="str">
        <x:v>current docs accessed 2026-08-11</x:v>
      </x:c>
      <x:c r="G7" s="14" t="str">
        <x:v>Usage can separately report total_thought_tokens and total_output_tokens.</x:v>
      </x:c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</x:row>
    <x:row r="8">
      <x:c r="A8" s="14" t="str">
        <x:v>S07</x:v>
      </x:c>
      <x:c r="B8" s="14" t="str">
        <x:v>vLLM</x:v>
      </x:c>
      <x:c r="C8" s="14" t="str">
        <x:v>Reasoning Outputs</x:v>
      </x:c>
      <x:c r="D8" s="14" t="str">
        <x:v>https://docs.vllm.ai/en/stable/features/reasoning_outputs/</x:v>
      </x:c>
      <x:c r="E8" s="14" t="str">
        <x:v>2026-08-11</x:v>
      </x:c>
      <x:c r="F8" s="14" t="str">
        <x:v>stable docs accessed 2026-08-11</x:v>
      </x:c>
      <x:c r="G8" s="14" t="str">
        <x:v>Current vLLM can expose reasoning separately from content and stream reasoning in deltas; field renamed from reasoning_content to reasoning.</x:v>
      </x:c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</x:row>
    <x:row r="9">
      <x:c r="A9" s="14" t="str">
        <x:v>S08</x:v>
      </x:c>
      <x:c r="B9" s="14" t="str">
        <x:v>MLCommons</x:v>
      </x:c>
      <x:c r="C9" s="14" t="str">
        <x:v>GPT-OSS and DeepSeek-R1 reasoning benchmarks</x:v>
      </x:c>
      <x:c r="D9" s="14" t="str">
        <x:v>https://mlcommons.org/2026/03/mlperf-inference-gpt-oss/</x:v>
      </x:c>
      <x:c r="E9" s="14" t="str">
        <x:v>2026-08-11</x:v>
      </x:c>
      <x:c r="F9" s="14" t="str">
        <x:v>published 2026-03; accessed 2026-08-11</x:v>
      </x:c>
      <x:c r="G9" s="14" t="str">
        <x:v>Current MLPerf reasoning workloads still use TTFT/TPOT latency constraints; the cited page is not used to infer reasoning-specific event parsing.</x:v>
      </x:c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</x:row>
  </x:sheetData>
  <x:pageMargins left="0.7" right="0.7" top="0.75" bottom="0.75" header="0.3" footer="0.3"/>
</x:worksheet>
</file>