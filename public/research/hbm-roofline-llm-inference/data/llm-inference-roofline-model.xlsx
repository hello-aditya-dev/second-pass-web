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a810f560a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4cb76dc556c43c7"/>
    <x:sheet xmlns:r="http://schemas.openxmlformats.org/officeDocument/2006/relationships" name="HARDWARE" sheetId="2" r:id="R4bed502f43e3444e"/>
    <x:sheet xmlns:r="http://schemas.openxmlformats.org/officeDocument/2006/relationships" name="MODEL" sheetId="3" r:id="R3ec768ae1d814638"/>
    <x:sheet xmlns:r="http://schemas.openxmlformats.org/officeDocument/2006/relationships" name="WORKLOAD" sheetId="4" r:id="R8a806f82aba64d9e"/>
    <x:sheet xmlns:r="http://schemas.openxmlformats.org/officeDocument/2006/relationships" name="ROOFLINE" sheetId="5" r:id="R20670e09405941ae"/>
    <x:sheet xmlns:r="http://schemas.openxmlformats.org/officeDocument/2006/relationships" name="DECODE" sheetId="6" r:id="Rc9da08684b7d494a"/>
    <x:sheet xmlns:r="http://schemas.openxmlformats.org/officeDocument/2006/relationships" name="PREFILL" sheetId="7" r:id="R41adfa69cff044bc"/>
    <x:sheet xmlns:r="http://schemas.openxmlformats.org/officeDocument/2006/relationships" name="BATCHING" sheetId="8" r:id="R9cbcfcdc7fbf4c14"/>
    <x:sheet xmlns:r="http://schemas.openxmlformats.org/officeDocument/2006/relationships" name="SENSITIVITY" sheetId="9" r:id="R991e43df71924020"/>
    <x:sheet xmlns:r="http://schemas.openxmlformats.org/officeDocument/2006/relationships" name="COST" sheetId="10" r:id="R95562d6264f546e4"/>
    <x:sheet xmlns:r="http://schemas.openxmlformats.org/officeDocument/2006/relationships" name="SOURCES" sheetId="11" r:id="R2fb6cba989ff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dd8be225641ed" /><Relationship Type="http://schemas.openxmlformats.org/officeDocument/2006/relationships/theme" Target="/xl/theme/theme1.xml" Id="R818cab328abf4f28" /><Relationship Type="http://schemas.openxmlformats.org/officeDocument/2006/relationships/sharedStrings" Target="/xl/sharedStrings.xml" Id="Rbc9d810240204b8e" /><Relationship Type="http://schemas.openxmlformats.org/officeDocument/2006/relationships/worksheet" Target="/xl/worksheets/sheet1.xml" Id="R14cb76dc556c43c7" /><Relationship Type="http://schemas.openxmlformats.org/officeDocument/2006/relationships/worksheet" Target="/xl/worksheets/sheet2.xml" Id="R4bed502f43e3444e" /><Relationship Type="http://schemas.openxmlformats.org/officeDocument/2006/relationships/worksheet" Target="/xl/worksheets/sheet3.xml" Id="R3ec768ae1d814638" /><Relationship Type="http://schemas.openxmlformats.org/officeDocument/2006/relationships/worksheet" Target="/xl/worksheets/sheet4.xml" Id="R8a806f82aba64d9e" /><Relationship Type="http://schemas.openxmlformats.org/officeDocument/2006/relationships/worksheet" Target="/xl/worksheets/sheet5.xml" Id="R20670e09405941ae" /><Relationship Type="http://schemas.openxmlformats.org/officeDocument/2006/relationships/worksheet" Target="/xl/worksheets/sheet6.xml" Id="Rc9da08684b7d494a" /><Relationship Type="http://schemas.openxmlformats.org/officeDocument/2006/relationships/worksheet" Target="/xl/worksheets/sheet7.xml" Id="R41adfa69cff044bc" /><Relationship Type="http://schemas.openxmlformats.org/officeDocument/2006/relationships/worksheet" Target="/xl/worksheets/sheet8.xml" Id="R9cbcfcdc7fbf4c14" /><Relationship Type="http://schemas.openxmlformats.org/officeDocument/2006/relationships/worksheet" Target="/xl/worksheets/sheet9.xml" Id="R991e43df71924020" /><Relationship Type="http://schemas.openxmlformats.org/officeDocument/2006/relationships/worksheet" Target="/xl/worksheets/sheet10.xml" Id="R95562d6264f546e4" /><Relationship Type="http://schemas.openxmlformats.org/officeDocument/2006/relationships/worksheet" Target="/xl/worksheets/sheet11.xml" Id="R2fb6cba989ff46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02799aacc241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HBM efficiency sensitivity</a:t>
            </a:r>
          </a:p>
        </c:rich>
      </c:tx>
    </c:title>
    <c:plotArea>
      <c:lineChart>
        <c:grouping val="standard"/>
        <c:ser>
          <c:idx val="0"/>
          <c:order val="0"/>
          <c:tx>
            <c:v>Effective HBM TB/s</c:v>
          </c:tx>
          <c:marker>
            <c:symbol val="none"/>
          </c:marker>
          <c:cat>
            <c:strRef>
              <c:f>'SENSITIVITY'!$A$2:$A$5</c:f>
              <c:strCache>
                <c:ptCount val="0"/>
              </c:strCache>
            </c:strRef>
          </c:cat>
          <c:val>
            <c:numRef>
              <c:f>'SENSITIVITY'!$B$2:$B$5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HBM weight-stream token ceiling</c:v>
          </c:tx>
          <c:marker>
            <c:symbol val="none"/>
          </c:marker>
          <c:cat>
            <c:strRef>
              <c:f>'SENSITIVITY'!$A$2:$A$5</c:f>
              <c:strCache>
                <c:ptCount val="0"/>
              </c:strCache>
            </c:strRef>
          </c:cat>
          <c:val>
            <c:numRef>
              <c:f>'SENSITIVITY'!$C$2:$C$5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02799aacc241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088815d2d1a429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16" t="str">
        <x:v>SECOND / PASS — LLM Inference Roofline Model</x:v>
      </x:c>
      <x:c r="B1" s="17"/>
    </x:row>
    <x:row r="2">
      <x:c r="A2" s="17"/>
      <x:c r="B2" s="17"/>
    </x:row>
    <x:row r="3">
      <x:c r="A3" s="8" t="str">
        <x:v>Formula-driven screening model for local-HBM Roofline analysis. Not an inference benchmark, end-to-end latency model, or hardware recommendation. Peak values are ceilings; use measured sustained values when available.</x:v>
      </x:c>
      <x:c r="B3" s="17"/>
    </x:row>
    <x:row r="4">
      <x:c r="A4" s="17"/>
      <x:c r="B4" s="17"/>
    </x:row>
    <x:row r="5">
      <x:c r="A5" s="17"/>
      <x:c r="B5" s="17"/>
    </x:row>
    <x:row r="6">
      <x:c r="A6" s="18" t="str">
        <x:v>Sheet</x:v>
      </x:c>
      <x:c r="B6" s="18" t="str">
        <x:v>Purpose</x:v>
      </x:c>
    </x:row>
    <x:row r="7">
      <x:c r="A7" s="17" t="str">
        <x:v>HARDWARE</x:v>
      </x:c>
      <x:c r="B7" s="17" t="str">
        <x:v>Peak/effective compute and HBM bandwidth; precision/dense safeguards</x:v>
      </x:c>
    </x:row>
    <x:row r="8">
      <x:c r="A8" s="17" t="str">
        <x:v>MODEL</x:v>
      </x:c>
      <x:c r="B8" s="17" t="str">
        <x:v>Dense-model parameters, payload, architecture and KV fields</x:v>
      </x:c>
    </x:row>
    <x:row r="9">
      <x:c r="A9" s="17" t="str">
        <x:v>WORKLOAD</x:v>
      </x:c>
      <x:c r="B9" s="17" t="str">
        <x:v>Decode concurrency, prefill GEMM shape, context and serving inputs</x:v>
      </x:c>
    </x:row>
    <x:row r="10">
      <x:c r="A10" s="17" t="str">
        <x:v>ROOFLINE</x:v>
      </x:c>
      <x:c r="B10" s="17" t="str">
        <x:v>Machine balance, workload intensity, feed ratio and roof</x:v>
      </x:c>
    </x:row>
    <x:row r="11">
      <x:c r="A11" s="17" t="str">
        <x:v>DECODE</x:v>
      </x:c>
      <x:c r="B11" s="17" t="str">
        <x:v>2P / P*b derivation, token ceilings, model-fit and bounded KV correction</x:v>
      </x:c>
    </x:row>
    <x:row r="12">
      <x:c r="A12" s="17" t="str">
        <x:v>PREFILL</x:v>
      </x:c>
      <x:c r="B12" s="17" t="str">
        <x:v>Illustrative GEMM arithmetic-intensity model</x:v>
      </x:c>
    </x:row>
    <x:row r="13">
      <x:c r="A13" s="17" t="str">
        <x:v>BATCHING</x:v>
      </x:c>
      <x:c r="B13" s="17" t="str">
        <x:v>Ideal weight-reuse intensity and q* ridge threshold</x:v>
      </x:c>
    </x:row>
    <x:row r="14">
      <x:c r="A14" s="17" t="str">
        <x:v>SENSITIVITY</x:v>
      </x:c>
      <x:c r="B14" s="17" t="str">
        <x:v>HBM efficiency scenarios</x:v>
      </x:c>
    </x:row>
    <x:row r="15">
      <x:c r="A15" s="17" t="str">
        <x:v>COST</x:v>
      </x:c>
      <x:c r="B15" s="17" t="str">
        <x:v>Optional GPU-hour cost / 1M theoretical tokens formula</x:v>
      </x:c>
    </x:row>
    <x:row r="16">
      <x:c r="A16" s="17" t="str">
        <x:v>SOURCES</x:v>
      </x:c>
      <x:c r="B16" s="17" t="str">
        <x:v>Primary/official sources for defaults</x:v>
      </x:c>
    </x:row>
    <x:row r="17">
      <x:c r="A17" s="17" t="str">
        <x:v>Critical warning</x:v>
      </x:c>
      <x:c r="B17" s="17" t="str">
        <x:v>Never compare sparse peaks to dense workloads or call theoretical token ceilings measured throughput.</x:v>
      </x:c>
    </x:row>
    <x:row r="18">
      <x:c r="A18" s="17"/>
      <x:c r="B18" s="17"/>
    </x:row>
    <x:row r="19">
      <x:c r="A19" s="17"/>
      <x:c r="B19" s="17"/>
    </x:row>
    <x:row r="20">
      <x:c r="A20" s="17"/>
      <x:c r="B20" s="17"/>
    </x:row>
  </x:sheetData>
  <x:mergeCells>
    <x:mergeCell ref="A1:F1"/>
    <x:mergeCell ref="A3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0" hidden="0" customWidth="1"/>
    <x:col min="4" max="4" width="18" hidden="0" customWidth="1"/>
    <x:col min="5" max="5" width="68" hidden="0" customWidth="1"/>
  </x:cols>
  <x:sheetData>
    <x:row r="1">
      <x:c r="A1" s="18" t="str">
        <x:v>Hardware input</x:v>
      </x:c>
      <x:c r="B1" s="18" t="str">
        <x:v>Value</x:v>
      </x:c>
      <x:c r="C1" s="18" t="str">
        <x:v>Unit</x:v>
      </x:c>
      <x:c r="D1" s="18" t="str">
        <x:v>Type</x:v>
      </x:c>
      <x:c r="E1" s="18" t="str">
        <x:v>Safety / source note</x:v>
      </x:c>
    </x:row>
    <x:row r="2">
      <x:c r="A2" s="17" t="str">
        <x:v>Vendor</x:v>
      </x:c>
      <x:c r="B2" s="26" t="str">
        <x:v>NVIDIA</x:v>
      </x:c>
      <x:c r="C2" s="17" t="str"/>
      <x:c r="D2" s="17" t="str">
        <x:v>USER INPUT</x:v>
      </x:c>
      <x:c r="E2" s="17" t="str">
        <x:v>Default B300 case</x:v>
      </x:c>
    </x:row>
    <x:row r="3">
      <x:c r="A3" s="17" t="str">
        <x:v>Accelerator</x:v>
      </x:c>
      <x:c r="B3" s="26" t="str">
        <x:v>B300</x:v>
      </x:c>
      <x:c r="C3" s="17" t="str"/>
      <x:c r="D3" s="17" t="str">
        <x:v>USER INPUT</x:v>
      </x:c>
      <x:c r="E3" s="17" t="str">
        <x:v>HGX B300 normalized per GPU-equivalent</x:v>
      </x:c>
    </x:row>
    <x:row r="4">
      <x:c r="A4" s="17" t="str">
        <x:v>Precision</x:v>
      </x:c>
      <x:c r="B4" s="26" t="str">
        <x:v>BF16</x:v>
      </x:c>
      <x:c r="C4" s="17" t="str"/>
      <x:c r="D4" s="17" t="str">
        <x:v>USER INPUT</x:v>
      </x:c>
      <x:c r="E4" s="17" t="str">
        <x:v>Cross-vendor comparable case</x:v>
      </x:c>
    </x:row>
    <x:row r="5">
      <x:c r="A5" s="17" t="str">
        <x:v>Peak type</x:v>
      </x:c>
      <x:c r="B5" s="26" t="str">
        <x:v>DENSE</x:v>
      </x:c>
      <x:c r="C5" s="17" t="str"/>
      <x:c r="D5" s="17" t="str">
        <x:v>USER INPUT</x:v>
      </x:c>
      <x:c r="E5" s="17" t="str">
        <x:v>Do not use SPARSE with dense workload</x:v>
      </x:c>
    </x:row>
    <x:row r="6">
      <x:c r="A6" s="17" t="str">
        <x:v>Peak compute</x:v>
      </x:c>
      <x:c r="B6" s="26" t="n">
        <x:v>2250000000000000</x:v>
      </x:c>
      <x:c r="C6" s="17" t="str">
        <x:v>FLOP/s</x:v>
      </x:c>
      <x:c r="D6" s="17" t="str">
        <x:v>CALCULATION INPUT</x:v>
      </x:c>
      <x:c r="E6" s="17" t="str">
        <x:v>HGX B300 36 PFLOPS BF16 sparse; dense=1/2; 18 PFLOPS/8 GPUs=2.25 PFLOPS</x:v>
      </x:c>
    </x:row>
    <x:row r="7">
      <x:c r="A7" s="17" t="str">
        <x:v>Peak HBM bandwidth</x:v>
      </x:c>
      <x:c r="B7" s="26" t="n">
        <x:v>8000000000000</x:v>
      </x:c>
      <x:c r="C7" s="17" t="str">
        <x:v>byte/s</x:v>
      </x:c>
      <x:c r="D7" s="17" t="str">
        <x:v>FACT INPUT</x:v>
      </x:c>
      <x:c r="E7" s="17" t="str">
        <x:v>Up to 8 TB/s per B300 GPU</x:v>
      </x:c>
    </x:row>
    <x:row r="8">
      <x:c r="A8" s="17" t="str">
        <x:v>HBM capacity</x:v>
      </x:c>
      <x:c r="B8" s="26" t="n">
        <x:v>288000000000</x:v>
      </x:c>
      <x:c r="C8" s="17" t="str">
        <x:v>bytes (decimal)</x:v>
      </x:c>
      <x:c r="D8" s="17" t="str">
        <x:v>FACT INPUT</x:v>
      </x:c>
      <x:c r="E8" s="17" t="str">
        <x:v>288 GB HBM3e</x:v>
      </x:c>
    </x:row>
    <x:row r="9">
      <x:c r="A9" s="17" t="str">
        <x:v>Measured sustained compute</x:v>
      </x:c>
      <x:c r="B9" s="26" t="n">
        <x:v>0</x:v>
      </x:c>
      <x:c r="C9" s="17" t="str">
        <x:v>FLOP/s</x:v>
      </x:c>
      <x:c r="D9" s="17" t="str">
        <x:v>OPTIONAL</x:v>
      </x:c>
      <x:c r="E9" s="17" t="str">
        <x:v>0 = peak × compute efficiency</x:v>
      </x:c>
    </x:row>
    <x:row r="10">
      <x:c r="A10" s="17" t="str">
        <x:v>Measured sustained HBM bandwidth</x:v>
      </x:c>
      <x:c r="B10" s="26" t="n">
        <x:v>0</x:v>
      </x:c>
      <x:c r="C10" s="17" t="str">
        <x:v>byte/s</x:v>
      </x:c>
      <x:c r="D10" s="17" t="str">
        <x:v>OPTIONAL</x:v>
      </x:c>
      <x:c r="E10" s="17" t="str">
        <x:v>0 = peak × bandwidth efficiency</x:v>
      </x:c>
    </x:row>
    <x:row r="11">
      <x:c r="A11" s="17" t="str">
        <x:v>Compute efficiency</x:v>
      </x:c>
      <x:c r="B11" s="27" t="n">
        <x:v>1</x:v>
      </x:c>
      <x:c r="C11" s="17" t="str">
        <x:v>ratio</x:v>
      </x:c>
      <x:c r="D11" s="17" t="str">
        <x:v>SCENARIO</x:v>
      </x:c>
      <x:c r="E11" s="17" t="str">
        <x:v>Not a measured-utilization claim</x:v>
      </x:c>
    </x:row>
    <x:row r="12">
      <x:c r="A12" s="17" t="str">
        <x:v>Bandwidth efficiency</x:v>
      </x:c>
      <x:c r="B12" s="27" t="n">
        <x:v>1</x:v>
      </x:c>
      <x:c r="C12" s="17" t="str">
        <x:v>ratio</x:v>
      </x:c>
      <x:c r="D12" s="17" t="str">
        <x:v>SCENARIO</x:v>
      </x:c>
      <x:c r="E12" s="17" t="str">
        <x:v>Not a measured-bandwidth claim</x:v>
      </x:c>
    </x:row>
    <x:row r="13">
      <x:c r="A13" s="17" t="str">
        <x:v>Comparison precision</x:v>
      </x:c>
      <x:c r="B13" s="26" t="str">
        <x:v>BF16</x:v>
      </x:c>
      <x:c r="C13" s="17" t="str"/>
      <x:c r="D13" s="17" t="str">
        <x:v>SAFETY</x:v>
      </x:c>
      <x:c r="E13" s="17" t="str">
        <x:v>Must match Precision for direct comparison</x:v>
      </x:c>
    </x:row>
    <x:row r="14">
      <x:c r="A14" s="17" t="str">
        <x:v>Workload sparsity</x:v>
      </x:c>
      <x:c r="B14" s="26" t="str">
        <x:v>DENSE</x:v>
      </x:c>
      <x:c r="C14" s="17" t="str"/>
      <x:c r="D14" s="17" t="str">
        <x:v>SAFETY</x:v>
      </x:c>
      <x:c r="E14" s="17" t="str">
        <x:v>Dense derivation assumes dense workload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</x:sheetData>
  <x:dataValidations count="4">
    <x:dataValidation type="list" sqref="B4">
      <x:formula1>"BF16,FP16,FP8,FP4,MXFP4,OTHER"</x:formula1>
    </x:dataValidation>
    <x:dataValidation type="list" sqref="B5">
      <x:formula1>"DENSE,SPARSE"</x:formula1>
    </x:dataValidation>
    <x:dataValidation type="list" sqref="B13">
      <x:formula1>"BF16,FP16,FP8,FP4,MXFP4,OTHER"</x:formula1>
    </x:dataValidation>
    <x:dataValidation type="list" sqref="B14">
      <x:formula1>"DENSE,SPARSE"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0" hidden="0" customWidth="1"/>
    <x:col min="4" max="4" width="18" hidden="0" customWidth="1"/>
    <x:col min="5" max="5" width="70" hidden="0" customWidth="1"/>
  </x:cols>
  <x:sheetData>
    <x:row r="1">
      <x:c r="A1" s="18" t="str">
        <x:v>Model input</x:v>
      </x:c>
      <x:c r="B1" s="18" t="str">
        <x:v>Value</x:v>
      </x:c>
      <x:c r="C1" s="18" t="str">
        <x:v>Unit</x:v>
      </x:c>
      <x:c r="D1" s="18" t="str">
        <x:v>Type</x:v>
      </x:c>
      <x:c r="E1" s="18" t="str">
        <x:v>Note</x:v>
      </x:c>
    </x:row>
    <x:row r="2">
      <x:c r="A2" s="17" t="str">
        <x:v>Model name</x:v>
      </x:c>
      <x:c r="B2" s="26" t="str">
        <x:v>Qwen2.5-72B-Instruct</x:v>
      </x:c>
      <x:c r="C2" s="17" t="str"/>
      <x:c r="D2" s="17" t="str">
        <x:v>FACT</x:v>
      </x:c>
      <x:c r="E2" s="17" t="str">
        <x:v>Official Qwen model card</x:v>
      </x:c>
    </x:row>
    <x:row r="3">
      <x:c r="A3" s="17" t="str">
        <x:v>Parameter count</x:v>
      </x:c>
      <x:c r="B3" s="26" t="n">
        <x:v>72700000000</x:v>
      </x:c>
      <x:c r="C3" s="17" t="str">
        <x:v>parameters</x:v>
      </x:c>
      <x:c r="D3" s="17" t="str">
        <x:v>FACT</x:v>
      </x:c>
      <x:c r="E3" s="17" t="str">
        <x:v>Total parameters; used as 2P teaching proxy</x:v>
      </x:c>
    </x:row>
    <x:row r="4">
      <x:c r="A4" s="17" t="str">
        <x:v>Non-embedding parameters</x:v>
      </x:c>
      <x:c r="B4" s="26" t="n">
        <x:v>70000000000</x:v>
      </x:c>
      <x:c r="C4" s="17" t="str">
        <x:v>parameters</x:v>
      </x:c>
      <x:c r="D4" s="17" t="str">
        <x:v>FACT</x:v>
      </x:c>
      <x:c r="E4" s="17" t="str">
        <x:v>Official model card; exposes approximation</x:v>
      </x:c>
    </x:row>
    <x:row r="5">
      <x:c r="A5" s="17" t="str">
        <x:v>Architecture type</x:v>
      </x:c>
      <x:c r="B5" s="26" t="str">
        <x:v>DENSE</x:v>
      </x:c>
      <x:c r="C5" s="17" t="str"/>
      <x:c r="D5" s="17" t="str">
        <x:v>USER/FACT</x:v>
      </x:c>
      <x:c r="E5" s="17" t="str">
        <x:v>Dense equations warn if MoE selected</x:v>
      </x:c>
    </x:row>
    <x:row r="6">
      <x:c r="A6" s="17" t="str">
        <x:v>Bytes per weight payload</x:v>
      </x:c>
      <x:c r="B6" s="26" t="n">
        <x:v>2</x:v>
      </x:c>
      <x:c r="C6" s="17" t="str">
        <x:v>bytes/weight</x:v>
      </x:c>
      <x:c r="D6" s="17" t="str">
        <x:v>SCENARIO</x:v>
      </x:c>
      <x:c r="E6" s="17" t="str">
        <x:v>BF16 ideal payload; not checkpoint allocation</x:v>
      </x:c>
    </x:row>
    <x:row r="7">
      <x:c r="A7" s="17" t="str">
        <x:v>Official checkpoint bytes</x:v>
      </x:c>
      <x:c r="B7" s="26" t="n">
        <x:v>0</x:v>
      </x:c>
      <x:c r="C7" s="17" t="str">
        <x:v>bytes</x:v>
      </x:c>
      <x:c r="D7" s="17" t="str">
        <x:v>OPTIONAL</x:v>
      </x:c>
      <x:c r="E7" s="17" t="str">
        <x:v>0 means not supplied</x:v>
      </x:c>
    </x:row>
    <x:row r="8">
      <x:c r="A8" s="17" t="str">
        <x:v>Layers</x:v>
      </x:c>
      <x:c r="B8" s="26" t="n">
        <x:v>80</x:v>
      </x:c>
      <x:c r="C8" s="17" t="str">
        <x:v>layers</x:v>
      </x:c>
      <x:c r="D8" s="17" t="str">
        <x:v>FACT</x:v>
      </x:c>
      <x:c r="E8" s="17" t="str">
        <x:v>Official card/config</x:v>
      </x:c>
    </x:row>
    <x:row r="9">
      <x:c r="A9" s="17" t="str">
        <x:v>Hidden size</x:v>
      </x:c>
      <x:c r="B9" s="26" t="n">
        <x:v>8192</x:v>
      </x:c>
      <x:c r="C9" s="17" t="str">
        <x:v>elements</x:v>
      </x:c>
      <x:c r="D9" s="17" t="str">
        <x:v>FACT</x:v>
      </x:c>
      <x:c r="E9" s="17" t="str">
        <x:v>Official config</x:v>
      </x:c>
    </x:row>
    <x:row r="10">
      <x:c r="A10" s="17" t="str">
        <x:v>Query heads</x:v>
      </x:c>
      <x:c r="B10" s="26" t="n">
        <x:v>64</x:v>
      </x:c>
      <x:c r="C10" s="17" t="str">
        <x:v>heads</x:v>
      </x:c>
      <x:c r="D10" s="17" t="str">
        <x:v>FACT</x:v>
      </x:c>
      <x:c r="E10" s="17" t="str">
        <x:v>GQA</x:v>
      </x:c>
    </x:row>
    <x:row r="11">
      <x:c r="A11" s="17" t="str">
        <x:v>KV heads</x:v>
      </x:c>
      <x:c r="B11" s="26" t="n">
        <x:v>8</x:v>
      </x:c>
      <x:c r="C11" s="17" t="str">
        <x:v>heads</x:v>
      </x:c>
      <x:c r="D11" s="17" t="str">
        <x:v>FACT</x:v>
      </x:c>
      <x:c r="E11" s="17" t="str">
        <x:v>GQA</x:v>
      </x:c>
    </x:row>
    <x:row r="12">
      <x:c r="A12" s="17" t="str">
        <x:v>Head dimension</x:v>
      </x:c>
      <x:c r="B12" s="26" t="n">
        <x:v>128</x:v>
      </x:c>
      <x:c r="C12" s="17" t="str">
        <x:v>elements/head</x:v>
      </x:c>
      <x:c r="D12" s="17" t="str">
        <x:v>CALCULATION</x:v>
      </x:c>
      <x:c r="E12" s="17" t="str">
        <x:v>8192/64</x:v>
      </x:c>
    </x:row>
    <x:row r="13">
      <x:c r="A13" s="17" t="str">
        <x:v>KV bytes per element</x:v>
      </x:c>
      <x:c r="B13" s="26" t="n">
        <x:v>2</x:v>
      </x:c>
      <x:c r="C13" s="17" t="str">
        <x:v>bytes</x:v>
      </x:c>
      <x:c r="D13" s="17" t="str">
        <x:v>SCENARIO</x:v>
      </x:c>
      <x:c r="E13" s="17" t="str">
        <x:v>BF16 KV payload</x:v>
      </x:c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</x:sheetData>
  <x:dataValidations count="1">
    <x:dataValidation type="list" sqref="B5">
      <x:formula1>"DENSE,MOE"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72" hidden="0" customWidth="1"/>
  </x:cols>
  <x:sheetData>
    <x:row r="1">
      <x:c r="A1" s="18" t="str">
        <x:v>Workload input</x:v>
      </x:c>
      <x:c r="B1" s="18" t="str">
        <x:v>Value</x:v>
      </x:c>
      <x:c r="C1" s="18" t="str">
        <x:v>Unit</x:v>
      </x:c>
      <x:c r="D1" s="18" t="str">
        <x:v>Type</x:v>
      </x:c>
      <x:c r="E1" s="18" t="str">
        <x:v>Note</x:v>
      </x:c>
    </x:row>
    <x:row r="2">
      <x:c r="A2" s="17" t="str">
        <x:v>Decode batch/concurrent tokens</x:v>
      </x:c>
      <x:c r="B2" s="26" t="n">
        <x:v>1</x:v>
      </x:c>
      <x:c r="C2" s="17" t="str">
        <x:v>tokens</x:v>
      </x:c>
      <x:c r="D2" s="17" t="str">
        <x:v>SCENARIO</x:v>
      </x:c>
      <x:c r="E2" s="17" t="str">
        <x:v>Idealized weight reuse dimension q</x:v>
      </x:c>
    </x:row>
    <x:row r="3">
      <x:c r="A3" s="17" t="str">
        <x:v>Context length</x:v>
      </x:c>
      <x:c r="B3" s="26" t="n">
        <x:v>8192</x:v>
      </x:c>
      <x:c r="C3" s="17" t="str">
        <x:v>tokens</x:v>
      </x:c>
      <x:c r="D3" s="17" t="str">
        <x:v>SCENARIO</x:v>
      </x:c>
      <x:c r="E3" s="17" t="str">
        <x:v>Bounded conventional KV read approximation only</x:v>
      </x:c>
    </x:row>
    <x:row r="4">
      <x:c r="A4" s="17" t="str">
        <x:v>Output length</x:v>
      </x:c>
      <x:c r="B4" s="26" t="n">
        <x:v>1000</x:v>
      </x:c>
      <x:c r="C4" s="17" t="str">
        <x:v>tokens</x:v>
      </x:c>
      <x:c r="D4" s="17" t="str">
        <x:v>SCENARIO</x:v>
      </x:c>
      <x:c r="E4" s="17" t="str">
        <x:v>Metadata only in this release</x:v>
      </x:c>
    </x:row>
    <x:row r="5">
      <x:c r="A5" s="17" t="str">
        <x:v>Prefill m</x:v>
      </x:c>
      <x:c r="B5" s="26" t="n">
        <x:v>2048</x:v>
      </x:c>
      <x:c r="C5" s="17" t="str">
        <x:v>rows/tokens</x:v>
      </x:c>
      <x:c r="D5" s="17" t="str">
        <x:v>SCENARIO</x:v>
      </x:c>
      <x:c r="E5" s="17" t="str">
        <x:v>Illustrative GEMM</x:v>
      </x:c>
    </x:row>
    <x:row r="6">
      <x:c r="A6" s="17" t="str">
        <x:v>Prefill k</x:v>
      </x:c>
      <x:c r="B6" s="26" t="n">
        <x:v>8192</x:v>
      </x:c>
      <x:c r="C6" s="17" t="str">
        <x:v>dimension</x:v>
      </x:c>
      <x:c r="D6" s="17" t="str">
        <x:v>SCENARIO</x:v>
      </x:c>
      <x:c r="E6" s="17" t="str">
        <x:v>Illustrative GEMM</x:v>
      </x:c>
    </x:row>
    <x:row r="7">
      <x:c r="A7" s="17" t="str">
        <x:v>Prefill n</x:v>
      </x:c>
      <x:c r="B7" s="26" t="n">
        <x:v>8192</x:v>
      </x:c>
      <x:c r="C7" s="17" t="str">
        <x:v>dimension</x:v>
      </x:c>
      <x:c r="D7" s="17" t="str">
        <x:v>SCENARIO</x:v>
      </x:c>
      <x:c r="E7" s="17" t="str">
        <x:v>Illustrative GEMM</x:v>
      </x:c>
    </x:row>
    <x:row r="8">
      <x:c r="A8" s="17" t="str">
        <x:v>Prefill A bytes/element</x:v>
      </x:c>
      <x:c r="B8" s="26" t="n">
        <x:v>2</x:v>
      </x:c>
      <x:c r="C8" s="17" t="str">
        <x:v>bytes</x:v>
      </x:c>
      <x:c r="D8" s="17" t="str">
        <x:v>SCENARIO</x:v>
      </x:c>
      <x:c r="E8" s="17" t="str">
        <x:v>BF16</x:v>
      </x:c>
    </x:row>
    <x:row r="9">
      <x:c r="A9" s="17" t="str">
        <x:v>Prefill B bytes/element</x:v>
      </x:c>
      <x:c r="B9" s="26" t="n">
        <x:v>2</x:v>
      </x:c>
      <x:c r="C9" s="17" t="str">
        <x:v>bytes</x:v>
      </x:c>
      <x:c r="D9" s="17" t="str">
        <x:v>SCENARIO</x:v>
      </x:c>
      <x:c r="E9" s="17" t="str">
        <x:v>BF16</x:v>
      </x:c>
    </x:row>
    <x:row r="10">
      <x:c r="A10" s="17" t="str">
        <x:v>Prefill C bytes/element</x:v>
      </x:c>
      <x:c r="B10" s="26" t="n">
        <x:v>2</x:v>
      </x:c>
      <x:c r="C10" s="17" t="str">
        <x:v>bytes</x:v>
      </x:c>
      <x:c r="D10" s="17" t="str">
        <x:v>SCENARIO</x:v>
      </x:c>
      <x:c r="E10" s="17" t="str">
        <x:v>BF16</x:v>
      </x:c>
    </x:row>
    <x:row r="11">
      <x:c r="A11" s="17" t="str">
        <x:v>GPU-hour price</x:v>
      </x:c>
      <x:c r="B11" s="26" t="n">
        <x:v>0</x:v>
      </x:c>
      <x:c r="C11" s="17" t="str">
        <x:v>USD/GPU-hour</x:v>
      </x:c>
      <x:c r="D11" s="17" t="str">
        <x:v>OPTIONAL</x:v>
      </x:c>
      <x:c r="E11" s="17" t="str">
        <x:v>0 disables cost output</x:v>
      </x:c>
    </x:row>
    <x:row r="12">
      <x:c r="A12" s="17" t="str">
        <x:v>Latency/SLO note</x:v>
      </x:c>
      <x:c r="B12" s="26" t="str">
        <x:v>Not modeled numerically</x:v>
      </x:c>
      <x:c r="C12" s="17" t="str"/>
      <x:c r="D12" s="17" t="str">
        <x:v>USER INPUT</x:v>
      </x:c>
      <x:c r="E12" s="17" t="str">
        <x:v>q* is not a production SLO recommendation</x:v>
      </x:c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5" hidden="0" customWidth="1"/>
    <x:col min="3" max="3" width="18" hidden="0" customWidth="1"/>
    <x:col min="4" max="4" width="72" hidden="0" customWidth="1"/>
  </x:cols>
  <x:sheetData>
    <x:row r="1">
      <x:c r="A1" s="18" t="str">
        <x:v>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Precision match warning</x:v>
      </x:c>
      <x:c r="B2" s="34" t="str">
        <x:f>IF(HARDWARE!B4=HARDWARE!B13,"PASS","WARNING — precision mismatch")</x:f>
        <x:v>PASS</x:v>
      </x:c>
      <x:c r="C2" s="17" t="str"/>
      <x:c r="D2" s="17" t="str"/>
    </x:row>
    <x:row r="3">
      <x:c r="A3" s="17" t="str">
        <x:v>Dense/sparse warning</x:v>
      </x:c>
      <x:c r="B3" s="34" t="str">
        <x:f>IF(HARDWARE!B5=HARDWARE!B14,"PASS","WARNING — dense/sparse mismatch")</x:f>
        <x:v>PASS</x:v>
      </x:c>
      <x:c r="C3" s="17" t="str"/>
      <x:c r="D3" s="17" t="str"/>
    </x:row>
    <x:row r="4">
      <x:c r="A4" s="17" t="str">
        <x:v>Effective compute ceiling</x:v>
      </x:c>
      <x:c r="B4" s="34" t="n">
        <x:f>IF(HARDWARE!B9&gt;0,HARDWARE!B9,HARDWARE!B6*HARDWARE!B11)</x:f>
        <x:v>2250000000000000</x:v>
      </x:c>
      <x:c r="C4" s="17" t="str">
        <x:v>FLOP/s</x:v>
      </x:c>
      <x:c r="D4" s="17" t="str">
        <x:v>Measured sustained if supplied, else peak×eta_c</x:v>
      </x:c>
    </x:row>
    <x:row r="5">
      <x:c r="A5" s="17" t="str">
        <x:v>Effective HBM bandwidth</x:v>
      </x:c>
      <x:c r="B5" s="34" t="n">
        <x:f>IF(HARDWARE!B10&gt;0,HARDWARE!B10,HARDWARE!B7*HARDWARE!B12)</x:f>
        <x:v>8000000000000</x:v>
      </x:c>
      <x:c r="C5" s="17" t="str">
        <x:v>byte/s</x:v>
      </x:c>
      <x:c r="D5" s="17" t="str">
        <x:v>Measured sustained if supplied, else peak×eta_b</x:v>
      </x:c>
    </x:row>
    <x:row r="6">
      <x:c r="A6" s="17" t="str">
        <x:v>Machine balance</x:v>
      </x:c>
      <x:c r="B6" s="34" t="n">
        <x:f>IF(B5&gt;0,B4/B5,0)</x:f>
        <x:v>281.25</x:v>
      </x:c>
      <x:c r="C6" s="17" t="str">
        <x:v>FLOP/byte</x:v>
      </x:c>
      <x:c r="D6" s="17" t="str">
        <x:v>Effective compute / effective HBM</x:v>
      </x:c>
    </x:row>
    <x:row r="7">
      <x:c r="A7" s="17" t="str">
        <x:v>Decode weight-only intensity</x:v>
      </x:c>
      <x:c r="B7" s="34" t="n">
        <x:f>IF(MODEL!B6&gt;0,2*WORKLOAD!B2/MODEL!B6,0)</x:f>
        <x:v>1</x:v>
      </x:c>
      <x:c r="C7" s="17" t="str">
        <x:v>FLOP/byte</x:v>
      </x:c>
      <x:c r="D7" s="17" t="str">
        <x:v>2q / bytes-per-weight</x:v>
      </x:c>
    </x:row>
    <x:row r="8">
      <x:c r="A8" s="17" t="str">
        <x:v>Roofline feed ratio</x:v>
      </x:c>
      <x:c r="B8" s="34" t="n">
        <x:f>IF(B6&gt;0,B7/B6,0)</x:f>
        <x:v>0.0035555555555555557</x:v>
      </x:c>
      <x:c r="C8" s="17" t="str">
        <x:v>ratio</x:v>
      </x:c>
      <x:c r="D8" s="17" t="str">
        <x:v>workload intensity / machine balance</x:v>
      </x:c>
    </x:row>
    <x:row r="9">
      <x:c r="A9" s="17" t="str">
        <x:v>Roofline classification</x:v>
      </x:c>
      <x:c r="B9" s="34" t="str">
        <x:f>IF(OR(B2&lt;&gt;"PASS",B3&lt;&gt;"PASS"),"INPUT MISMATCH — DO NOT COMPARE",IF(B8&lt;1,"MEMORY ROOF TIGHTER","COMPUTE ROOF CAN BECOME TIGHTER"))</x:f>
        <x:v>MEMORY ROOF TIGHTER</x:v>
      </x:c>
      <x:c r="C9" s="17" t="str"/>
      <x:c r="D9" s="17" t="str">
        <x:v>Memory roof tighter if feed ratio &lt;1</x:v>
      </x:c>
    </x:row>
    <x:row r="10">
      <x:c r="A10" s="17" t="str">
        <x:v>Bandwidth compute roof</x:v>
      </x:c>
      <x:c r="B10" s="34" t="n">
        <x:f>B5*B7</x:f>
        <x:v>8000000000000</x:v>
      </x:c>
      <x:c r="C10" s="17" t="str">
        <x:v>FLOP/s</x:v>
      </x:c>
      <x:c r="D10" s="17" t="str">
        <x:v>B_eff × I</x:v>
      </x:c>
    </x:row>
    <x:row r="11">
      <x:c r="A11" s="17" t="str">
        <x:v>Lower Roofline compute ceiling</x:v>
      </x:c>
      <x:c r="B11" s="34" t="n">
        <x:f>MIN(B4,B10)</x:f>
        <x:v>8000000000000</x:v>
      </x:c>
      <x:c r="C11" s="17" t="str">
        <x:v>FLOP/s</x:v>
      </x:c>
      <x:c r="D11" s="17" t="str">
        <x:v>min(P_eff,B_eff×I)</x:v>
      </x:c>
    </x:row>
    <x:row r="12">
      <x:c r="A12" s="17" t="str">
        <x:v>Roofline compute-ceiling fraction</x:v>
      </x:c>
      <x:c r="B12" s="35" t="n">
        <x:f>MIN(1,B8)</x:f>
        <x:v>0.0035555555555555557</x:v>
      </x:c>
      <x:c r="C12" s="17" t="str">
        <x:v>ratio</x:v>
      </x:c>
      <x:c r="D12" s="17" t="str">
        <x:v>min(1,I/MB); NOT GPU utilization</x:v>
      </x:c>
    </x:row>
    <x:row r="13">
      <x:c r="A13" s="17" t="str">
        <x:v>Theoretical/Measured label</x:v>
      </x:c>
      <x:c r="B13" s="34" t="str">
        <x:f>IF(OR(HARDWARE!B9&gt;0,HARDWARE!B10&gt;0),"MEASURED/EFFECTIVE INPUT PRESENT","THEORETICAL PEAK × SCENARIO EFFICIENCY")</x:f>
        <x:v>THEORETICAL PEAK × SCENARIO EFFICIENCY</x:v>
      </x:c>
      <x:c r="C13" s="17" t="str"/>
      <x:c r="D13" s="17" t="str">
        <x:v>Which inputs drive the roof</x:v>
      </x:c>
    </x:row>
    <x:row r="14">
      <x:c r="A14" s="17" t="str">
        <x:v>Measured compute sanity warning</x:v>
      </x:c>
      <x:c r="B14" s="34" t="str">
        <x:f>IF(AND(HARDWARE!B9&gt;0,HARDWARE!B9&gt;HARDWARE!B6),"WARNING — measured compute exceeds peak","PASS")</x:f>
        <x:v>PASS</x:v>
      </x:c>
      <x:c r="C14" s="17" t="str"/>
      <x:c r="D14" s="17" t="str">
        <x:v>Measured sustained compute must not exceed the selected peak ceiling</x:v>
      </x:c>
    </x:row>
    <x:row r="15">
      <x:c r="A15" s="17" t="str">
        <x:v>Measured HBM sanity warning</x:v>
      </x:c>
      <x:c r="B15" s="34" t="str">
        <x:f>IF(AND(HARDWARE!B10&gt;0,HARDWARE!B10&gt;HARDWARE!B7),"WARNING — measured HBM exceeds peak","PASS")</x:f>
        <x:v>PASS</x:v>
      </x:c>
      <x:c r="C15" s="17" t="str"/>
      <x:c r="D15" s="17" t="str">
        <x:v>Measured sustained HBM bandwidth must not exceed selected peak HBM bandwidth</x:v>
      </x:c>
    </x:row>
    <x:row r="16">
      <x:c r="A16" s="17"/>
      <x:c r="B16" s="17"/>
      <x:c r="C16" s="17"/>
      <x:c r="D16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76" hidden="0" customWidth="1"/>
  </x:cols>
  <x:sheetData>
    <x:row r="1">
      <x:c r="A1" s="18" t="str">
        <x:v>Decode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Architecture warning</x:v>
      </x:c>
      <x:c r="B2" s="34" t="str">
        <x:f>IF(MODEL!B5="DENSE","PASS","WARNING — MoE selected; dense equations may not apply")</x:f>
        <x:v>PASS</x:v>
      </x:c>
      <x:c r="C2" s="17" t="str"/>
      <x:c r="D2" s="17" t="str">
        <x:v>Dense 2P/Pb model should not silently run as valid for MoE</x:v>
      </x:c>
    </x:row>
    <x:row r="3">
      <x:c r="A3" s="17" t="str">
        <x:v>Approx arithmetic/token</x:v>
      </x:c>
      <x:c r="B3" s="34" t="n">
        <x:f>2*MODEL!B3</x:f>
        <x:v>145400000000</x:v>
      </x:c>
      <x:c r="C3" s="17" t="str">
        <x:v>FLOP/token</x:v>
      </x:c>
      <x:c r="D3" s="17" t="str">
        <x:v>2P total-parameter teaching proxy</x:v>
      </x:c>
    </x:row>
    <x:row r="4">
      <x:c r="A4" s="17" t="str">
        <x:v>Ideal weight bytes/step</x:v>
      </x:c>
      <x:c r="B4" s="34" t="n">
        <x:f>MODEL!B3*MODEL!B6</x:f>
        <x:v>145400000000</x:v>
      </x:c>
      <x:c r="C4" s="17" t="str">
        <x:v>bytes</x:v>
      </x:c>
      <x:c r="D4" s="17" t="str">
        <x:v>P*b_w; payload only</x:v>
      </x:c>
    </x:row>
    <x:row r="5">
      <x:c r="A5" s="17" t="str">
        <x:v>Ideal weight footprint</x:v>
      </x:c>
      <x:c r="B5" s="34" t="n">
        <x:f>B4/1E9</x:f>
        <x:v>145.4</x:v>
      </x:c>
      <x:c r="C5" s="17" t="str">
        <x:v>GB decimal</x:v>
      </x:c>
      <x:c r="D5" s="17" t="str">
        <x:v>not checkpoint or runtime allocation</x:v>
      </x:c>
    </x:row>
    <x:row r="6">
      <x:c r="A6" s="17" t="str">
        <x:v>Single-token ideal intensity</x:v>
      </x:c>
      <x:c r="B6" s="34" t="n">
        <x:f>IF(MODEL!B6&gt;0,2/MODEL!B6,0)</x:f>
        <x:v>1</x:v>
      </x:c>
      <x:c r="C6" s="17" t="str">
        <x:v>FLOP/byte</x:v>
      </x:c>
      <x:c r="D6" s="17" t="str">
        <x:v>2/b_w</x:v>
      </x:c>
    </x:row>
    <x:row r="7">
      <x:c r="A7" s="17" t="str">
        <x:v>Current-batch ideal intensity</x:v>
      </x:c>
      <x:c r="B7" s="34" t="n">
        <x:f>IF(MODEL!B6&gt;0,2*WORKLOAD!B2/MODEL!B6,0)</x:f>
        <x:v>1</x:v>
      </x:c>
      <x:c r="C7" s="17" t="str">
        <x:v>FLOP/byte</x:v>
      </x:c>
      <x:c r="D7" s="17" t="str">
        <x:v>2q/b_w</x:v>
      </x:c>
    </x:row>
    <x:row r="8">
      <x:c r="A8" s="17" t="str">
        <x:v>Ideal HBM weight-stream token ceiling</x:v>
      </x:c>
      <x:c r="B8" s="34" t="n">
        <x:f>IF(B4&gt;0,ROOFLINE!B5/B4,0)</x:f>
        <x:v>55.02063273727648</x:v>
      </x:c>
      <x:c r="C8" s="17" t="str">
        <x:v>tokens/s</x:v>
      </x:c>
      <x:c r="D8" s="17" t="str">
        <x:v>B_eff/(P*b_w)</x:v>
      </x:c>
    </x:row>
    <x:row r="9">
      <x:c r="A9" s="17" t="str">
        <x:v>Ideal compute token ceiling</x:v>
      </x:c>
      <x:c r="B9" s="34" t="n">
        <x:f>IF(B3&gt;0,ROOFLINE!B4/B3,0)</x:f>
        <x:v>15474.55295735901</x:v>
      </x:c>
      <x:c r="C9" s="17" t="str">
        <x:v>tokens/s</x:v>
      </x:c>
      <x:c r="D9" s="17" t="str">
        <x:v>P_eff/(2P)</x:v>
      </x:c>
    </x:row>
    <x:row r="10">
      <x:c r="A10" s="17" t="str">
        <x:v>Binding theoretical token roof</x:v>
      </x:c>
      <x:c r="B10" s="34" t="n">
        <x:f>MIN(B8,B9)</x:f>
        <x:v>55.02063273727648</x:v>
      </x:c>
      <x:c r="C10" s="17" t="str">
        <x:v>tokens/s</x:v>
      </x:c>
      <x:c r="D10" s="17" t="str">
        <x:v>lower of the two</x:v>
      </x:c>
    </x:row>
    <x:row r="11">
      <x:c r="A11" s="17" t="str">
        <x:v>Token-roof label</x:v>
      </x:c>
      <x:c r="B11" s="34" t="str">
        <x:v>THEORETICAL / IDEALIZED UPPER BOUND — NOT MEASURED SERVER THROUGHPUT</x:v>
      </x:c>
      <x:c r="C11" s="17" t="str"/>
      <x:c r="D11" s="17" t="str">
        <x:v>Never call measured throughput</x:v>
      </x:c>
    </x:row>
    <x:row r="12">
      <x:c r="A12" s="17" t="str">
        <x:v>Ideal weight fit in HBM</x:v>
      </x:c>
      <x:c r="B12" s="34" t="str">
        <x:f>IF(B4&lt;=HARDWARE!B8,"IDEAL PAYLOAD FITS","IDEAL PAYLOAD EXCEEDS HBM")</x:f>
        <x:v>IDEAL PAYLOAD FITS</x:v>
      </x:c>
      <x:c r="C12" s="17" t="str"/>
      <x:c r="D12" s="17" t="str">
        <x:v>Payload fit only; runtime/KV/activations still need memory</x:v>
      </x:c>
    </x:row>
    <x:row r="13">
      <x:c r="A13" s="17" t="str">
        <x:v>Conventional KV bytes read/token</x:v>
      </x:c>
      <x:c r="B13" s="34" t="n">
        <x:f>2*MODEL!B8*MODEL!B11*MODEL!B12*WORKLOAD!B3*MODEL!B13</x:f>
        <x:v>2684354560</x:v>
      </x:c>
      <x:c r="C13" s="17" t="str">
        <x:v>bytes</x:v>
      </x:c>
      <x:c r="D13" s="17" t="str">
        <x:v>2*L*n_kv*d_h*S*b_kv; bounded approximation</x:v>
      </x:c>
    </x:row>
    <x:row r="14">
      <x:c r="A14" s="17" t="str">
        <x:v>KV vs amortized weight bytes</x:v>
      </x:c>
      <x:c r="B14" s="34" t="n">
        <x:f>IF(AND(WORKLOAD!B2&gt;0,B4&gt;0),B13/(B4/WORKLOAD!B2),0)</x:f>
        <x:v>0.018461860797799174</x:v>
      </x:c>
      <x:c r="C14" s="17" t="str">
        <x:v>ratio</x:v>
      </x:c>
      <x:c r="D14" s="17" t="str">
        <x:v>KV bytes / (weight bytes/q)</x:v>
      </x:c>
    </x:row>
    <x:row r="15">
      <x:c r="A15" s="17"/>
      <x:c r="B15" s="17"/>
      <x:c r="C15" s="17"/>
      <x:c r="D15" s="17"/>
    </x:row>
    <x:row r="16">
      <x:c r="A16" s="17"/>
      <x:c r="B16" s="17"/>
      <x:c r="C16" s="17"/>
      <x:c r="D16" s="17"/>
    </x:row>
    <x:row r="17">
      <x:c r="A17" s="17"/>
      <x:c r="B17" s="17"/>
      <x:c r="C17" s="17"/>
      <x:c r="D17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42" hidden="0" customWidth="1"/>
    <x:col min="3" max="3" width="18" hidden="0" customWidth="1"/>
    <x:col min="4" max="4" width="75" hidden="0" customWidth="1"/>
  </x:cols>
  <x:sheetData>
    <x:row r="1">
      <x:c r="A1" s="18" t="str">
        <x:v>Prefill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Illustrative GEMM FLOPs</x:v>
      </x:c>
      <x:c r="B2" s="34" t="n">
        <x:f>2*WORKLOAD!B5*WORKLOAD!B6*WORKLOAD!B7</x:f>
        <x:v>274877906944</x:v>
      </x:c>
      <x:c r="C2" s="17" t="str">
        <x:v>FLOP</x:v>
      </x:c>
      <x:c r="D2" s="17" t="str">
        <x:v>2mkn</x:v>
      </x:c>
    </x:row>
    <x:row r="3">
      <x:c r="A3" s="17" t="str">
        <x:v>Approx A bytes</x:v>
      </x:c>
      <x:c r="B3" s="34" t="n">
        <x:f>WORKLOAD!B8*WORKLOAD!B5*WORKLOAD!B6</x:f>
        <x:v>33554432</x:v>
      </x:c>
      <x:c r="C3" s="17" t="str">
        <x:v>bytes</x:v>
      </x:c>
      <x:c r="D3" s="17" t="str">
        <x:v>b_A*m*k</x:v>
      </x:c>
    </x:row>
    <x:row r="4">
      <x:c r="A4" s="17" t="str">
        <x:v>Approx B bytes</x:v>
      </x:c>
      <x:c r="B4" s="34" t="n">
        <x:f>WORKLOAD!B9*WORKLOAD!B6*WORKLOAD!B7</x:f>
        <x:v>134217728</x:v>
      </x:c>
      <x:c r="C4" s="17" t="str">
        <x:v>bytes</x:v>
      </x:c>
      <x:c r="D4" s="17" t="str">
        <x:v>b_B*k*n</x:v>
      </x:c>
    </x:row>
    <x:row r="5">
      <x:c r="A5" s="17" t="str">
        <x:v>Approx C bytes</x:v>
      </x:c>
      <x:c r="B5" s="34" t="n">
        <x:f>WORKLOAD!B10*WORKLOAD!B5*WORKLOAD!B7</x:f>
        <x:v>33554432</x:v>
      </x:c>
      <x:c r="C5" s="17" t="str">
        <x:v>bytes</x:v>
      </x:c>
      <x:c r="D5" s="17" t="str">
        <x:v>b_C*m*n</x:v>
      </x:c>
    </x:row>
    <x:row r="6">
      <x:c r="A6" s="17" t="str">
        <x:v>Approx traffic</x:v>
      </x:c>
      <x:c r="B6" s="34" t="n">
        <x:f>SUM(B3:B5)</x:f>
        <x:v>201326592</x:v>
      </x:c>
      <x:c r="C6" s="17" t="str">
        <x:v>bytes</x:v>
      </x:c>
      <x:c r="D6" s="17" t="str">
        <x:v>simple one-pass sum</x:v>
      </x:c>
    </x:row>
    <x:row r="7">
      <x:c r="A7" s="17" t="str">
        <x:v>Arithmetic intensity</x:v>
      </x:c>
      <x:c r="B7" s="34" t="n">
        <x:f>IF(B6&gt;0,B2/B6,0)</x:f>
        <x:v>1365.3333333333333</x:v>
      </x:c>
      <x:c r="C7" s="17" t="str">
        <x:v>FLOP/byte</x:v>
      </x:c>
      <x:c r="D7" s="17" t="str">
        <x:v>2mkn / traffic</x:v>
      </x:c>
    </x:row>
    <x:row r="8">
      <x:c r="A8" s="17" t="str">
        <x:v>Selected machine-balance comparison</x:v>
      </x:c>
      <x:c r="B8" s="34" t="str">
        <x:f>IF(B7&lt;ROOFLINE!B6,"BELOW SELECTED RIDGE","ABOVE SELECTED RIDGE — COMPUTE CAN BECOME TIGHTER")</x:f>
        <x:v>ABOVE SELECTED RIDGE — COMPUTE CAN BECOME TIGHTER</x:v>
      </x:c>
      <x:c r="C8" s="17" t="str"/>
      <x:c r="D8" s="17" t="str">
        <x:v>Uses selected hardware machine balance</x:v>
      </x:c>
    </x:row>
    <x:row r="9">
      <x:c r="A9" s="17" t="str">
        <x:v>Caveat</x:v>
      </x:c>
      <x:c r="B9" s="34" t="str">
        <x:v>Illustrative matrix-multiply model only. Do not generalize to all prefill kernels or end-to-end inference.</x:v>
      </x:c>
      <x:c r="C9" s="17" t="str"/>
      <x:c r="D9" s="17" t="str">
        <x:v>Not a whole-model prefill claim; tiling/cache/reuse change real traffic</x:v>
      </x:c>
    </x:row>
    <x:row r="10">
      <x:c r="A10" s="17"/>
      <x:c r="B10" s="17"/>
      <x:c r="C10" s="17"/>
      <x:c r="D10" s="17"/>
    </x:row>
    <x:row r="11">
      <x:c r="A11" s="17"/>
      <x:c r="B11" s="17"/>
      <x:c r="C11" s="17"/>
      <x:c r="D11" s="17"/>
    </x:row>
    <x:row r="12">
      <x:c r="A12" s="17"/>
      <x:c r="B12" s="17"/>
      <x:c r="C12" s="17"/>
      <x:c r="D12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42" hidden="0" customWidth="1"/>
    <x:col min="3" max="3" width="20" hidden="0" customWidth="1"/>
    <x:col min="4" max="4" width="72" hidden="0" customWidth="1"/>
  </x:cols>
  <x:sheetData>
    <x:row r="1">
      <x:c r="A1" s="18" t="str">
        <x:v>Batching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Ideal ridge batch q*</x:v>
      </x:c>
      <x:c r="B2" s="34" t="n">
        <x:f>MODEL!B6*ROOFLINE!B6/2</x:f>
        <x:v>281.25</x:v>
      </x:c>
      <x:c r="C2" s="17" t="str">
        <x:v>concurrent tokens</x:v>
      </x:c>
      <x:c r="D2" s="17" t="str">
        <x:v>b_w*machine_balance/2</x:v>
      </x:c>
    </x:row>
    <x:row r="3">
      <x:c r="A3" s="17" t="str">
        <x:v>Current q</x:v>
      </x:c>
      <x:c r="B3" s="34" t="n">
        <x:f>WORKLOAD!B2</x:f>
        <x:v>1</x:v>
      </x:c>
      <x:c r="C3" s="17" t="str">
        <x:v>tokens</x:v>
      </x:c>
      <x:c r="D3" s="17" t="str">
        <x:v>From WORKLOAD</x:v>
      </x:c>
    </x:row>
    <x:row r="4">
      <x:c r="A4" s="17" t="str">
        <x:v>Current ideal weight-only intensity</x:v>
      </x:c>
      <x:c r="B4" s="34" t="n">
        <x:f>DECODE!B7</x:f>
        <x:v>1</x:v>
      </x:c>
      <x:c r="C4" s="17" t="str">
        <x:v>FLOP/byte</x:v>
      </x:c>
      <x:c r="D4" s="17" t="str">
        <x:v>2q/b_w</x:v>
      </x:c>
    </x:row>
    <x:row r="5">
      <x:c r="A5" s="17" t="str">
        <x:v>Reached simplified ridge?</x:v>
      </x:c>
      <x:c r="B5" s="34" t="str">
        <x:f>IF(B4&gt;=ROOFLINE!B6,"YES — IN IDEAL MODEL","NO — MEMORY ROOF TIGHTER IN IDEAL MODEL")</x:f>
        <x:v>NO — MEMORY ROOF TIGHTER IN IDEAL MODEL</x:v>
      </x:c>
      <x:c r="C5" s="17" t="str"/>
      <x:c r="D5" s="17" t="str">
        <x:v>Does not mean recommended production batch</x:v>
      </x:c>
    </x:row>
    <x:row r="6">
      <x:c r="A6" s="17" t="str">
        <x:v>Latency/SLO warning</x:v>
      </x:c>
      <x:c r="B6" s="34" t="str">
        <x:v>q* is a theoretical Roofline threshold, not a serving recommendation. Verify under the actual latency SLO.</x:v>
      </x:c>
      <x:c r="C6" s="17" t="str"/>
      <x:c r="D6" s="17" t="str">
        <x:v>Higher q can increase queueing, KV capacity and latency</x:v>
      </x:c>
    </x:row>
    <x:row r="7">
      <x:c r="A7" s="17"/>
      <x:c r="B7" s="17"/>
      <x:c r="C7" s="17"/>
      <x:c r="D7" s="17"/>
    </x:row>
    <x:row r="8">
      <x:c r="A8" s="17"/>
      <x:c r="B8" s="17"/>
      <x:c r="C8" s="17"/>
      <x:c r="D8" s="17"/>
    </x:row>
    <x:row r="9">
      <x:c r="A9" s="17"/>
      <x:c r="B9" s="17"/>
      <x:c r="C9" s="17"/>
      <x:c r="D9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>
      <x:c r="A1" s="13" t="str">
        <x:v>Bandwidth efficiency</x:v>
      </x:c>
      <x:c r="B1" s="13" t="str">
        <x:v>Effective HBM TB/s</x:v>
      </x:c>
      <x:c r="C1" s="13" t="str">
        <x:v>HBM weight-stream token ceiling</x:v>
      </x:c>
      <x:c r="D1" s="13" t="str">
        <x:v>Compute token ceiling</x:v>
      </x:c>
      <x:c r="E1" s="13" t="str">
        <x:v>Lower roof</x:v>
      </x:c>
      <x:c r="F1" s="13" t="str">
        <x:v>Type</x:v>
      </x:c>
    </x:row>
    <x:row r="2">
      <x:c r="A2" s="38" t="n">
        <x:v>0.4</x:v>
      </x:c>
      <x:c r="B2" t="n">
        <x:f>HARDWARE!B7*A2/1E12</x:f>
        <x:v>3.2</x:v>
      </x:c>
      <x:c r="C2" t="n">
        <x:f>HARDWARE!B7*A2/(MODEL!B3*MODEL!B6)</x:f>
        <x:v>22.008253094910593</x:v>
      </x:c>
      <x:c r="D2" t="n">
        <x:f>HARDWARE!B6*HARDWARE!B11/(2*MODEL!B3)</x:f>
        <x:v>15474.55295735901</x:v>
      </x:c>
      <x:c r="E2" t="n">
        <x:f>MIN(C2,D2)</x:f>
        <x:v>22.008253094910593</x:v>
      </x:c>
      <x:c r="F2" t="str">
        <x:v>SCENARIO / NOT MEASURED</x:v>
      </x:c>
    </x:row>
    <x:row r="3">
      <x:c r="A3" s="38" t="n">
        <x:v>0.6</x:v>
      </x:c>
      <x:c r="B3" t="n">
        <x:f>HARDWARE!B7*A3/1E12</x:f>
        <x:v>4.8</x:v>
      </x:c>
      <x:c r="C3" t="n">
        <x:f>HARDWARE!B7*A3/(MODEL!B3*MODEL!B6)</x:f>
        <x:v>33.012379642365886</x:v>
      </x:c>
      <x:c r="D3" t="n">
        <x:f>HARDWARE!B6*HARDWARE!B11/(2*MODEL!B3)</x:f>
        <x:v>15474.55295735901</x:v>
      </x:c>
      <x:c r="E3" t="n">
        <x:f>MIN(C3,D3)</x:f>
        <x:v>33.012379642365886</x:v>
      </x:c>
      <x:c r="F3" t="str">
        <x:v>SCENARIO / NOT MEASURED</x:v>
      </x:c>
    </x:row>
    <x:row r="4">
      <x:c r="A4" s="38" t="n">
        <x:v>0.8</x:v>
      </x:c>
      <x:c r="B4" t="n">
        <x:f>HARDWARE!B7*A4/1E12</x:f>
        <x:v>6.4</x:v>
      </x:c>
      <x:c r="C4" t="n">
        <x:f>HARDWARE!B7*A4/(MODEL!B3*MODEL!B6)</x:f>
        <x:v>44.016506189821186</x:v>
      </x:c>
      <x:c r="D4" t="n">
        <x:f>HARDWARE!B6*HARDWARE!B11/(2*MODEL!B3)</x:f>
        <x:v>15474.55295735901</x:v>
      </x:c>
      <x:c r="E4" t="n">
        <x:f>MIN(C4,D4)</x:f>
        <x:v>44.016506189821186</x:v>
      </x:c>
      <x:c r="F4" t="str">
        <x:v>SCENARIO / NOT MEASURED</x:v>
      </x:c>
    </x:row>
    <x:row r="5">
      <x:c r="A5" s="38" t="n">
        <x:v>1</x:v>
      </x:c>
      <x:c r="B5" t="n">
        <x:f>HARDWARE!B7*A5/1E12</x:f>
        <x:v>8</x:v>
      </x:c>
      <x:c r="C5" t="n">
        <x:f>HARDWARE!B7*A5/(MODEL!B3*MODEL!B6)</x:f>
        <x:v>55.02063273727648</x:v>
      </x:c>
      <x:c r="D5" t="n">
        <x:f>HARDWARE!B6*HARDWARE!B11/(2*MODEL!B3)</x:f>
        <x:v>15474.55295735901</x:v>
      </x:c>
      <x:c r="E5" t="n">
        <x:f>MIN(C5,D5)</x:f>
        <x:v>55.02063273727648</x:v>
      </x:c>
      <x:c r="F5" t="str">
        <x:v>SCENARIO / NOT MEASURED</x:v>
      </x:c>
    </x:row>
  </x:sheetData>
  <x:pageMargins left="0.7" right="0.7" top="0.75" bottom="0.75" header="0.3" footer="0.3"/>
  <x:drawing xmlns:r="http://schemas.openxmlformats.org/officeDocument/2006/relationships" r:id="R0088815d2d1a4299"/>
</x:worksheet>
</file>

<file path=xl/worksheets/sheet10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42" hidden="0" customWidth="1"/>
    <x:col min="3" max="3" width="22" hidden="0" customWidth="1"/>
    <x:col min="4" max="4" width="74" hidden="0" customWidth="1"/>
  </x:cols>
  <x:sheetData>
    <x:row r="1">
      <x:c r="A1" s="18" t="str">
        <x:v>Cost 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17" t="str">
        <x:v>GPU-hour price</x:v>
      </x:c>
      <x:c r="B2" s="34" t="n">
        <x:f>WORKLOAD!B11</x:f>
        <x:v>0</x:v>
      </x:c>
      <x:c r="C2" s="17" t="str">
        <x:v>USD/GPU-hour</x:v>
      </x:c>
      <x:c r="D2" s="17" t="str">
        <x:v>Optional WORKLOAD input</x:v>
      </x:c>
    </x:row>
    <x:row r="3">
      <x:c r="A3" s="17" t="str">
        <x:v>Selected theoretical token roof</x:v>
      </x:c>
      <x:c r="B3" s="34" t="n">
        <x:f>DECODE!B10</x:f>
        <x:v>55.02063273727648</x:v>
      </x:c>
      <x:c r="C3" s="17" t="str">
        <x:v>tokens/s</x:v>
      </x:c>
      <x:c r="D3" s="17" t="str">
        <x:v>From DECODE; not measured</x:v>
      </x:c>
    </x:row>
    <x:row r="4">
      <x:c r="A4" s="17" t="str">
        <x:v>Cost / 1M theoretical tokens</x:v>
      </x:c>
      <x:c r="B4" s="34" t="n">
        <x:f>IF(AND(B2&gt;0,B3&gt;0),1000000*B2/(3600*B3),0)</x:f>
        <x:v>0</x:v>
      </x:c>
      <x:c r="C4" s="17" t="str">
        <x:v>USD/1M tokens</x:v>
      </x:c>
      <x:c r="D4" s="17" t="str">
        <x:v>Only if price &gt;0; not a production cost forecast</x:v>
      </x:c>
    </x:row>
    <x:row r="5">
      <x:c r="A5" s="17" t="str">
        <x:v>Cost warning</x:v>
      </x:c>
      <x:c r="B5" s="34" t="str">
        <x:v>Use measured goodput under the real model, batch/context distribution and latency SLO for economic decisions.</x:v>
      </x:c>
      <x:c r="C5" s="17" t="str"/>
      <x:c r="D5" s="17" t="str">
        <x:v>Replace theoretical T with measured accepted throughput for procurement decisions</x:v>
      </x:c>
    </x:row>
    <x:row r="6">
      <x:c r="A6" s="17"/>
      <x:c r="B6" s="17"/>
      <x:c r="C6" s="17"/>
      <x:c r="D6" s="17"/>
    </x:row>
    <x:row r="7">
      <x:c r="A7" s="17"/>
      <x:c r="B7" s="17"/>
      <x:c r="C7" s="17"/>
      <x:c r="D7" s="17"/>
    </x:row>
    <x:row r="8">
      <x:c r="A8" s="17"/>
      <x:c r="B8" s="17"/>
      <x:c r="C8" s="17"/>
      <x:c r="D8" s="1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3" hidden="0" customWidth="1"/>
    <x:col min="4" max="4" width="78" hidden="0" customWidth="1"/>
    <x:col min="5" max="5" width="16" hidden="0" customWidth="1"/>
    <x:col min="6" max="6" width="62" hidden="0" customWidth="1"/>
    <x:col min="7" max="7" width="62" hidden="0" customWidth="1"/>
  </x:cols>
  <x:sheetData>
    <x:row r="1">
      <x:c r="A1" s="18" t="str">
        <x:v>ID</x:v>
      </x:c>
      <x:c r="B1" s="18" t="str">
        <x:v>Organization</x:v>
      </x:c>
      <x:c r="C1" s="18" t="str">
        <x:v>Document</x:v>
      </x:c>
      <x:c r="D1" s="18" t="str">
        <x:v>URL</x:v>
      </x:c>
      <x:c r="E1" s="18" t="str">
        <x:v>Accessed</x:v>
      </x:c>
      <x:c r="F1" s="18" t="str">
        <x:v>Supports</x:v>
      </x:c>
      <x:c r="G1" s="18" t="str">
        <x:v>Limitations</x:v>
      </x:c>
    </x:row>
    <x:row r="2">
      <x:c r="A2" s="17" t="str">
        <x:v>S01</x:v>
      </x:c>
      <x:c r="B2" s="17" t="str">
        <x:v>NVIDIA</x:v>
      </x:c>
      <x:c r="C2" s="17" t="str">
        <x:v>NVIDIA HGX Platform</x:v>
      </x:c>
      <x:c r="D2" s="17" t="str">
        <x:v>https://www.nvidia.com/en-in/data-center/hgx/</x:v>
      </x:c>
      <x:c r="E2" s="17" t="str">
        <x:v>2026-08-10</x:v>
      </x:c>
      <x:c r="F2" s="17" t="str">
        <x:v>HGX B300 FP4/FP8/BF16 system peaks; dense/sparse footnotes</x:v>
      </x:c>
      <x:c r="G2" s="17" t="str">
        <x:v>B300 per-GPU BF16 value is normalized from 8-GPU system</x:v>
      </x:c>
    </x:row>
    <x:row r="3">
      <x:c r="A3" s="17" t="str">
        <x:v>S02</x:v>
      </x:c>
      <x:c r="B3" s="17" t="str">
        <x:v>NVIDIA</x:v>
      </x:c>
      <x:c r="C3" s="17" t="str">
        <x:v>HGX AI Factory — Components</x:v>
      </x:c>
      <x:c r="D3" s="17" t="str">
        <x:v>https://docs.nvidia.com/enterprise-reference-architectures/hgx-ai-factory/latest/components.html</x:v>
      </x:c>
      <x:c r="E3" s="17" t="str">
        <x:v>2026-08-10</x:v>
      </x:c>
      <x:c r="F3" s="17" t="str">
        <x:v>B300 288 GB HBM3e/GPU; up to 8 TB/s/GPU</x:v>
      </x:c>
      <x:c r="G3" s="17" t="str">
        <x:v>Peak ceilings, not sustained inference bandwidth</x:v>
      </x:c>
    </x:row>
    <x:row r="4">
      <x:c r="A4" s="17" t="str">
        <x:v>S03</x:v>
      </x:c>
      <x:c r="B4" s="17" t="str">
        <x:v>AMD</x:v>
      </x:c>
      <x:c r="C4" s="17" t="str">
        <x:v>AMD Instinct MI355X</x:v>
      </x:c>
      <x:c r="D4" s="17" t="str">
        <x:v>https://www.amd.com/en/products/accelerators/instinct/mi350/mi355x.html</x:v>
      </x:c>
      <x:c r="E4" s="17" t="str">
        <x:v>2026-08-10</x:v>
      </x:c>
      <x:c r="F4" s="17" t="str">
        <x:v>2.5 PFLOPS BF16 dense; 5 sparse; 288 GB HBM3E; 8 TB/s</x:v>
      </x:c>
      <x:c r="G4" s="17" t="str">
        <x:v>Vendor peak specifications</x:v>
      </x:c>
    </x:row>
    <x:row r="5">
      <x:c r="A5" s="17" t="str">
        <x:v>S04</x:v>
      </x:c>
      <x:c r="B5" s="17" t="str">
        <x:v>Berkeley Lab</x:v>
      </x:c>
      <x:c r="C5" s="17" t="str">
        <x:v>Roofline Model</x:v>
      </x:c>
      <x:c r="D5" s="17" t="str">
        <x:v>https://amcr.lbl.gov/departments/computer-science-department/ppan/roofline-performance-model/</x:v>
      </x:c>
      <x:c r="E5" s="17" t="str">
        <x:v>2026-08-10</x:v>
      </x:c>
      <x:c r="F5" s="17" t="str">
        <x:v>Arithmetic intensity and Roofline basis</x:v>
      </x:c>
      <x:c r="G5" s="17" t="str">
        <x:v>Defined workload/kernel and memory boundary</x:v>
      </x:c>
    </x:row>
    <x:row r="6">
      <x:c r="A6" s="17" t="str">
        <x:v>S05</x:v>
      </x:c>
      <x:c r="B6" s="17" t="str">
        <x:v>Berkeley Lab</x:v>
      </x:c>
      <x:c r="C6" s="17" t="str">
        <x:v>Roofline publications</x:v>
      </x:c>
      <x:c r="D6" s="17" t="str">
        <x:v>https://amcr.lbl.gov/departments/computer-science-department/ppan/roofline-performance-model/ppan-roofline-publications/</x:v>
      </x:c>
      <x:c r="E6" s="17" t="str">
        <x:v>2026-08-10</x:v>
      </x:c>
      <x:c r="F6" s="17" t="str">
        <x:v>Original 2009 paper identification</x:v>
      </x:c>
      <x:c r="G6" s="17" t="str">
        <x:v>Institutional bibliography</x:v>
      </x:c>
    </x:row>
    <x:row r="7">
      <x:c r="A7" s="17" t="str">
        <x:v>S06</x:v>
      </x:c>
      <x:c r="B7" s="17" t="str">
        <x:v>Qwen</x:v>
      </x:c>
      <x:c r="C7" s="17" t="str">
        <x:v>Qwen2.5-72B-Instruct model card</x:v>
      </x:c>
      <x:c r="D7" s="17" t="str">
        <x:v>https://huggingface.co/Qwen/Qwen2.5-72B-Instruct</x:v>
      </x:c>
      <x:c r="E7" s="17" t="str">
        <x:v>2026-08-10</x:v>
      </x:c>
      <x:c r="F7" s="17" t="str">
        <x:v>72.7B total; 70B non-embedding; 80 layers; 64Q/8KV; 131072 context</x:v>
      </x:c>
      <x:c r="G7" s="17" t="str">
        <x:v>Model case only, not benchmark evidence</x:v>
      </x:c>
    </x:row>
    <x:row r="8">
      <x:c r="A8" s="17" t="str">
        <x:v>S07</x:v>
      </x:c>
      <x:c r="B8" s="17" t="str">
        <x:v>Qwen</x:v>
      </x:c>
      <x:c r="C8" s="17" t="str">
        <x:v>Qwen2.5-72B-Instruct config</x:v>
      </x:c>
      <x:c r="D8" s="17" t="str">
        <x:v>https://huggingface.co/Qwen/Qwen2.5-72B-Instruct/blob/main/config.json</x:v>
      </x:c>
      <x:c r="E8" s="17" t="str">
        <x:v>2026-08-10</x:v>
      </x:c>
      <x:c r="F8" s="17" t="str">
        <x:v>hidden 8192; heads/layers; BF16</x:v>
      </x:c>
      <x:c r="G8" s="17" t="str">
        <x:v>Repository config can evolve</x:v>
      </x:c>
    </x:row>
    <x:row r="9">
      <x:c r="A9" s="17"/>
      <x:c r="B9" s="17"/>
      <x:c r="C9" s="17"/>
      <x:c r="D9" s="17"/>
      <x:c r="E9" s="17"/>
      <x:c r="F9" s="17"/>
      <x:c r="G9" s="17"/>
    </x:row>
    <x:row r="10">
      <x:c r="A10" s="17"/>
      <x:c r="B10" s="17"/>
      <x:c r="C10" s="17"/>
      <x:c r="D10" s="17"/>
      <x:c r="E10" s="17"/>
      <x:c r="F10" s="17"/>
      <x:c r="G10" s="17"/>
    </x:row>
    <x:row r="11">
      <x:c r="A11" s="17"/>
      <x:c r="B11" s="17"/>
      <x:c r="C11" s="17"/>
      <x:c r="D11" s="17"/>
      <x:c r="E11" s="17"/>
      <x:c r="F11" s="17"/>
      <x:c r="G11" s="17"/>
    </x:row>
    <x:row r="12">
      <x:c r="A12" s="17"/>
      <x:c r="B12" s="17"/>
      <x:c r="C12" s="17"/>
      <x:c r="D12" s="17"/>
      <x:c r="E12" s="17"/>
      <x:c r="F12" s="17"/>
      <x:c r="G12" s="17"/>
    </x:row>
  </x:sheetData>
  <x:pageMargins left="0.7" right="0.7" top="0.75" bottom="0.75" header="0.3" footer="0.3"/>
</x:worksheet>
</file>