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e6337a737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38fd648bbe54882"/>
    <x:sheet xmlns:r="http://schemas.openxmlformats.org/officeDocument/2006/relationships" name="PRICES" sheetId="2" r:id="R6d73a2132b50485d"/>
    <x:sheet xmlns:r="http://schemas.openxmlformats.org/officeDocument/2006/relationships" name="ARCHITECTURE" sheetId="3" r:id="R954e654941884d6e"/>
    <x:sheet xmlns:r="http://schemas.openxmlformats.org/officeDocument/2006/relationships" name="EXEC_GRAPH" sheetId="4" r:id="R695b2fece9f94f1b"/>
    <x:sheet xmlns:r="http://schemas.openxmlformats.org/officeDocument/2006/relationships" name="BRANCHING" sheetId="5" r:id="R79661092db264f8a"/>
    <x:sheet xmlns:r="http://schemas.openxmlformats.org/officeDocument/2006/relationships" name="COST" sheetId="6" r:id="R1847dc205acb4122"/>
    <x:sheet xmlns:r="http://schemas.openxmlformats.org/officeDocument/2006/relationships" name="RELIABILITY" sheetId="7" r:id="R81f540d6772649aa"/>
    <x:sheet xmlns:r="http://schemas.openxmlformats.org/officeDocument/2006/relationships" name="LATENCY" sheetId="8" r:id="R3f1a5e47d94d49a4"/>
    <x:sheet xmlns:r="http://schemas.openxmlformats.org/officeDocument/2006/relationships" name="CAPACITY" sheetId="9" r:id="R8b4faabba7154d25"/>
    <x:sheet xmlns:r="http://schemas.openxmlformats.org/officeDocument/2006/relationships" name="SCENARIOS" sheetId="10" r:id="Rfc1d5610cfb54dc7"/>
    <x:sheet xmlns:r="http://schemas.openxmlformats.org/officeDocument/2006/relationships" name="SENSITIVITY" sheetId="11" r:id="Rde20900192034831"/>
    <x:sheet xmlns:r="http://schemas.openxmlformats.org/officeDocument/2006/relationships" name="BREAK_EVEN" sheetId="12" r:id="R1a9641b58f8f45f5"/>
    <x:sheet xmlns:r="http://schemas.openxmlformats.org/officeDocument/2006/relationships" name="COMPANY_INPUT" sheetId="13" r:id="R4208b11fd4f14a09"/>
    <x:sheet xmlns:r="http://schemas.openxmlformats.org/officeDocument/2006/relationships" name="SOURCES" sheetId="14" r:id="Rf570cd9242de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2EFE7"/>
      </x:patternFill>
    </x:fill>
    <x:fill>
      <x:patternFill patternType="solid">
        <x:fgColor rgb="FFFFFDF6"/>
      </x:patternFill>
    </x:fill>
    <x:fill>
      <x:patternFill patternType="solid">
        <x:fgColor rgb="FFEEF3FF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fd8a803c94425" /><Relationship Type="http://schemas.openxmlformats.org/officeDocument/2006/relationships/theme" Target="/xl/theme/theme1.xml" Id="R1c8326b0df7c4d82" /><Relationship Type="http://schemas.openxmlformats.org/officeDocument/2006/relationships/sharedStrings" Target="/xl/sharedStrings.xml" Id="R2519146f9ef64170" /><Relationship Type="http://schemas.openxmlformats.org/officeDocument/2006/relationships/worksheet" Target="/xl/worksheets/sheet1.xml" Id="R338fd648bbe54882" /><Relationship Type="http://schemas.openxmlformats.org/officeDocument/2006/relationships/worksheet" Target="/xl/worksheets/sheet2.xml" Id="R6d73a2132b50485d" /><Relationship Type="http://schemas.openxmlformats.org/officeDocument/2006/relationships/worksheet" Target="/xl/worksheets/sheet3.xml" Id="R954e654941884d6e" /><Relationship Type="http://schemas.openxmlformats.org/officeDocument/2006/relationships/worksheet" Target="/xl/worksheets/sheet4.xml" Id="R695b2fece9f94f1b" /><Relationship Type="http://schemas.openxmlformats.org/officeDocument/2006/relationships/worksheet" Target="/xl/worksheets/sheet5.xml" Id="R79661092db264f8a" /><Relationship Type="http://schemas.openxmlformats.org/officeDocument/2006/relationships/worksheet" Target="/xl/worksheets/sheet6.xml" Id="R1847dc205acb4122" /><Relationship Type="http://schemas.openxmlformats.org/officeDocument/2006/relationships/worksheet" Target="/xl/worksheets/sheet7.xml" Id="R81f540d6772649aa" /><Relationship Type="http://schemas.openxmlformats.org/officeDocument/2006/relationships/worksheet" Target="/xl/worksheets/sheet8.xml" Id="R3f1a5e47d94d49a4" /><Relationship Type="http://schemas.openxmlformats.org/officeDocument/2006/relationships/worksheet" Target="/xl/worksheets/sheet9.xml" Id="R8b4faabba7154d25" /><Relationship Type="http://schemas.openxmlformats.org/officeDocument/2006/relationships/worksheet" Target="/xl/worksheets/sheet10.xml" Id="Rfc1d5610cfb54dc7" /><Relationship Type="http://schemas.openxmlformats.org/officeDocument/2006/relationships/worksheet" Target="/xl/worksheets/sheet11.xml" Id="Rde20900192034831" /><Relationship Type="http://schemas.openxmlformats.org/officeDocument/2006/relationships/worksheet" Target="/xl/worksheets/sheet12.xml" Id="R1a9641b58f8f45f5" /><Relationship Type="http://schemas.openxmlformats.org/officeDocument/2006/relationships/worksheet" Target="/xl/worksheets/sheet13.xml" Id="R4208b11fd4f14a09" /><Relationship Type="http://schemas.openxmlformats.org/officeDocument/2006/relationships/worksheet" Target="/xl/worksheets/sheet14.xml" Id="Rf570cd9242de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12" t="str">
        <x:v>SECOND / PASS — Agent Fan-Out Economics Model</x:v>
      </x:c>
      <x:c r="B1" s="13"/>
      <x:c r="C1" s="13"/>
      <x:c r="D1" s="13"/>
      <x:c r="E1" s="13"/>
      <x:c r="F1" s="13"/>
    </x:row>
    <x:row r="2">
      <x:c r="A2" s="13"/>
      <x:c r="B2" s="13"/>
      <x:c r="C2" s="13"/>
      <x:c r="D2" s="13"/>
      <x:c r="E2" s="13"/>
      <x:c r="F2" s="13"/>
    </x:row>
    <x:row r="3">
      <x:c r="A3" s="7" t="str">
        <x:v>Quantifies internal operation amplification, direct model/tool cost, reliability, upstream RPS, concurrency, bounded branching, critical-path latency and cheap-many-calls vs expensive-fewer-calls break-even. Public scenarios are HOUSE ASSUMPTIONS, not production measurements.</x:v>
      </x:c>
      <x:c r="B3" s="13"/>
      <x:c r="C3" s="13"/>
      <x:c r="D3" s="13"/>
      <x:c r="E3" s="13"/>
      <x:c r="F3" s="13"/>
    </x:row>
    <x:row r="4">
      <x:c r="A4" s="13"/>
      <x:c r="B4" s="13"/>
      <x:c r="C4" s="13"/>
      <x:c r="D4" s="13"/>
      <x:c r="E4" s="13"/>
      <x:c r="F4" s="13"/>
    </x:row>
    <x:row r="5">
      <x:c r="A5" s="13"/>
      <x:c r="B5" s="13"/>
      <x:c r="C5" s="13"/>
      <x:c r="D5" s="13"/>
      <x:c r="E5" s="13"/>
      <x:c r="F5" s="13"/>
    </x:row>
    <x:row r="6">
      <x:c r="A6" s="13"/>
      <x:c r="B6" s="13"/>
      <x:c r="C6" s="13"/>
      <x:c r="D6" s="13"/>
      <x:c r="E6" s="13"/>
      <x:c r="F6" s="13"/>
    </x:row>
    <x:row r="7">
      <x:c r="A7" s="13"/>
      <x:c r="B7" s="13"/>
      <x:c r="C7" s="13"/>
      <x:c r="D7" s="13"/>
      <x:c r="E7" s="13"/>
      <x:c r="F7" s="13"/>
    </x:row>
    <x:row r="8">
      <x:c r="A8" s="14" t="str">
        <x:v>Sheet</x:v>
      </x:c>
      <x:c r="B8" s="14" t="str">
        <x:v>Purpose</x:v>
      </x:c>
      <x:c r="C8" s="13"/>
      <x:c r="D8" s="13"/>
      <x:c r="E8" s="13"/>
      <x:c r="F8" s="13"/>
    </x:row>
    <x:row r="9">
      <x:c r="A9" s="13" t="str">
        <x:v>PRICES</x:v>
      </x:c>
      <x:c r="B9" s="13" t="str">
        <x:v>Current source-backed price meters used by public scenarios</x:v>
      </x:c>
      <x:c r="C9" s="13"/>
      <x:c r="D9" s="13"/>
      <x:c r="E9" s="13"/>
      <x:c r="F9" s="13"/>
    </x:row>
    <x:row r="10">
      <x:c r="A10" s="13" t="str">
        <x:v>ARCHITECTURE</x:v>
      </x:c>
      <x:c r="B10" s="13" t="str">
        <x:v>Buyer-editable run-level architecture assumptions</x:v>
      </x:c>
      <x:c r="C10" s="13"/>
      <x:c r="D10" s="13"/>
      <x:c r="E10" s="13"/>
      <x:c r="F10" s="13"/>
    </x:row>
    <x:row r="11">
      <x:c r="A11" s="13" t="str">
        <x:v>EXEC_GRAPH</x:v>
      </x:c>
      <x:c r="B11" s="13" t="str">
        <x:v>Node accounting fields for a directed execution graph</x:v>
      </x:c>
      <x:c r="C11" s="13"/>
      <x:c r="D11" s="13"/>
      <x:c r="E11" s="13"/>
      <x:c r="F11" s="13"/>
    </x:row>
    <x:row r="12">
      <x:c r="A12" s="13" t="str">
        <x:v>BRANCHING</x:v>
      </x:c>
      <x:c r="B12" s="13" t="str">
        <x:v>Bounded fan-out expected-work model</x:v>
      </x:c>
      <x:c r="C12" s="13"/>
      <x:c r="D12" s="13"/>
      <x:c r="E12" s="13"/>
      <x:c r="F12" s="13"/>
    </x:row>
    <x:row r="13">
      <x:c r="A13" s="13" t="str">
        <x:v>COST</x:v>
      </x:c>
      <x:c r="B13" s="13" t="str">
        <x:v>Attempted-request and successful-request economics</x:v>
      </x:c>
      <x:c r="C13" s="13"/>
      <x:c r="D13" s="13"/>
      <x:c r="E13" s="13"/>
      <x:c r="F13" s="13"/>
    </x:row>
    <x:row r="14">
      <x:c r="A14" s="13" t="str">
        <x:v>RELIABILITY</x:v>
      </x:c>
      <x:c r="B14" s="13" t="str">
        <x:v>Mandatory-operation success compounding and retry math</x:v>
      </x:c>
      <x:c r="C14" s="13"/>
      <x:c r="D14" s="13"/>
      <x:c r="E14" s="13"/>
      <x:c r="F14" s="13"/>
    </x:row>
    <x:row r="15">
      <x:c r="A15" s="13" t="str">
        <x:v>LATENCY</x:v>
      </x:c>
      <x:c r="B15" s="13" t="str">
        <x:v>Serial vs parallel critical-path model</x:v>
      </x:c>
      <x:c r="C15" s="13"/>
      <x:c r="D15" s="13"/>
      <x:c r="E15" s="13"/>
      <x:c r="F15" s="13"/>
    </x:row>
    <x:row r="16">
      <x:c r="A16" s="13" t="str">
        <x:v>CAPACITY</x:v>
      </x:c>
      <x:c r="B16" s="13" t="str">
        <x:v>Upstream RPS / concurrency amplification</x:v>
      </x:c>
      <x:c r="C16" s="13"/>
      <x:c r="D16" s="13"/>
      <x:c r="E16" s="13"/>
      <x:c r="F16" s="13"/>
    </x:row>
    <x:row r="17">
      <x:c r="A17" s="13" t="str">
        <x:v>SCENARIOS</x:v>
      </x:c>
      <x:c r="B17" s="13" t="str">
        <x:v>Three canonical house scenarios</x:v>
      </x:c>
      <x:c r="C17" s="13"/>
      <x:c r="D17" s="13"/>
      <x:c r="E17" s="13"/>
      <x:c r="F17" s="13"/>
    </x:row>
    <x:row r="18">
      <x:c r="A18" s="13" t="str">
        <x:v>SENSITIVITY</x:v>
      </x:c>
      <x:c r="B18" s="13" t="str">
        <x:v>Fan-out / retries / failure / search sensitivity</x:v>
      </x:c>
      <x:c r="C18" s="13"/>
      <x:c r="D18" s="13"/>
      <x:c r="E18" s="13"/>
      <x:c r="F18" s="13"/>
    </x:row>
    <x:row r="19">
      <x:c r="A19" s="13" t="str">
        <x:v>BREAK_EVEN</x:v>
      </x:c>
      <x:c r="B19" s="13" t="str">
        <x:v>Cheap-many-calls vs expensive-fewer-calls boundary</x:v>
      </x:c>
      <x:c r="C19" s="13"/>
      <x:c r="D19" s="13"/>
      <x:c r="E19" s="13"/>
      <x:c r="F19" s="13"/>
    </x:row>
    <x:row r="20">
      <x:c r="A20" s="13" t="str">
        <x:v>COMPANY_INPUT</x:v>
      </x:c>
      <x:c r="B20" s="13" t="str">
        <x:v>Client input fields for a real workload</x:v>
      </x:c>
      <x:c r="C20" s="13"/>
      <x:c r="D20" s="13"/>
      <x:c r="E20" s="13"/>
      <x:c r="F20" s="13"/>
    </x:row>
    <x:row r="21">
      <x:c r="A21" s="13" t="str">
        <x:v>SOURCES</x:v>
      </x:c>
      <x:c r="B21" s="13" t="str">
        <x:v>Primary/official sources and URLs</x:v>
      </x:c>
      <x:c r="C21" s="13"/>
      <x:c r="D21" s="13"/>
      <x:c r="E21" s="13"/>
      <x:c r="F21" s="13"/>
    </x:row>
    <x:row r="22">
      <x:c r="A22" s="13"/>
      <x:c r="B22" s="13"/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</x:sheetData>
  <x:mergeCells>
    <x:mergeCell ref="A1:F1"/>
    <x:mergeCell ref="A3:F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75" hidden="0" customWidth="1"/>
    <x:col min="8" max="8" width="16" hidden="0" customWidth="1"/>
  </x:cols>
  <x:sheetData>
    <x:row r="1">
      <x:c r="A1" s="14" t="str">
        <x:v>Provider</x:v>
      </x:c>
      <x:c r="B1" s="14" t="str">
        <x:v>Product</x:v>
      </x:c>
      <x:c r="C1" s="14" t="str">
        <x:v>Meter</x:v>
      </x:c>
      <x:c r="D1" s="14" t="str">
        <x:v>Unit</x:v>
      </x:c>
      <x:c r="E1" s="14" t="str">
        <x:v>Price USD</x:v>
      </x:c>
      <x:c r="F1" s="14" t="str">
        <x:v>Scope</x:v>
      </x:c>
      <x:c r="G1" s="14" t="str">
        <x:v>Source</x:v>
      </x:c>
      <x:c r="H1" s="14" t="str">
        <x:v>Accessed</x:v>
      </x:c>
    </x:row>
    <x:row r="2">
      <x:c r="A2" s="13" t="str">
        <x:v>OpenAI</x:v>
      </x:c>
      <x:c r="B2" s="13" t="str">
        <x:v>gpt-5.6-sol</x:v>
      </x:c>
      <x:c r="C2" s="13" t="str">
        <x:v>input</x:v>
      </x:c>
      <x:c r="D2" s="13" t="str">
        <x:v>USD/MTok</x:v>
      </x:c>
      <x:c r="E2" s="13" t="n">
        <x:v>5</x:v>
      </x:c>
      <x:c r="F2" s="13" t="str">
        <x:v>standard short-context</x:v>
      </x:c>
      <x:c r="G2" s="13" t="str">
        <x:v>https://developers.openai.com/api/docs/pricing</x:v>
      </x:c>
      <x:c r="H2" s="13" t="str">
        <x:v>2026-08-11</x:v>
      </x:c>
    </x:row>
    <x:row r="3">
      <x:c r="A3" s="13" t="str">
        <x:v>OpenAI</x:v>
      </x:c>
      <x:c r="B3" s="13" t="str">
        <x:v>gpt-5.6-sol</x:v>
      </x:c>
      <x:c r="C3" s="13" t="str">
        <x:v>output</x:v>
      </x:c>
      <x:c r="D3" s="13" t="str">
        <x:v>USD/MTok</x:v>
      </x:c>
      <x:c r="E3" s="13" t="n">
        <x:v>30</x:v>
      </x:c>
      <x:c r="F3" s="13" t="str">
        <x:v>standard short-context</x:v>
      </x:c>
      <x:c r="G3" s="13" t="str">
        <x:v>https://developers.openai.com/api/docs/pricing</x:v>
      </x:c>
      <x:c r="H3" s="13" t="str">
        <x:v>2026-08-11</x:v>
      </x:c>
    </x:row>
    <x:row r="4">
      <x:c r="A4" s="13" t="str">
        <x:v>OpenAI</x:v>
      </x:c>
      <x:c r="B4" s="13" t="str">
        <x:v>gpt-5.6-terra</x:v>
      </x:c>
      <x:c r="C4" s="13" t="str">
        <x:v>input</x:v>
      </x:c>
      <x:c r="D4" s="13" t="str">
        <x:v>USD/MTok</x:v>
      </x:c>
      <x:c r="E4" s="13" t="n">
        <x:v>2</x:v>
      </x:c>
      <x:c r="F4" s="13" t="str">
        <x:v>standard short-context</x:v>
      </x:c>
      <x:c r="G4" s="13" t="str">
        <x:v>https://developers.openai.com/api/docs/pricing</x:v>
      </x:c>
      <x:c r="H4" s="13" t="str">
        <x:v>2026-08-11</x:v>
      </x:c>
    </x:row>
    <x:row r="5">
      <x:c r="A5" s="13" t="str">
        <x:v>OpenAI</x:v>
      </x:c>
      <x:c r="B5" s="13" t="str">
        <x:v>gpt-5.6-terra</x:v>
      </x:c>
      <x:c r="C5" s="13" t="str">
        <x:v>output</x:v>
      </x:c>
      <x:c r="D5" s="13" t="str">
        <x:v>USD/MTok</x:v>
      </x:c>
      <x:c r="E5" s="13" t="n">
        <x:v>12</x:v>
      </x:c>
      <x:c r="F5" s="13" t="str">
        <x:v>standard short-context</x:v>
      </x:c>
      <x:c r="G5" s="13" t="str">
        <x:v>https://developers.openai.com/api/docs/pricing</x:v>
      </x:c>
      <x:c r="H5" s="13" t="str">
        <x:v>2026-08-11</x:v>
      </x:c>
    </x:row>
    <x:row r="6">
      <x:c r="A6" s="13" t="str">
        <x:v>OpenAI</x:v>
      </x:c>
      <x:c r="B6" s="13" t="str">
        <x:v>gpt-5.6-luna</x:v>
      </x:c>
      <x:c r="C6" s="13" t="str">
        <x:v>input</x:v>
      </x:c>
      <x:c r="D6" s="13" t="str">
        <x:v>USD/MTok</x:v>
      </x:c>
      <x:c r="E6" s="13" t="n">
        <x:v>0.2</x:v>
      </x:c>
      <x:c r="F6" s="13" t="str">
        <x:v>standard short-context</x:v>
      </x:c>
      <x:c r="G6" s="13" t="str">
        <x:v>https://developers.openai.com/api/docs/pricing</x:v>
      </x:c>
      <x:c r="H6" s="13" t="str">
        <x:v>2026-08-11</x:v>
      </x:c>
    </x:row>
    <x:row r="7">
      <x:c r="A7" s="13" t="str">
        <x:v>OpenAI</x:v>
      </x:c>
      <x:c r="B7" s="13" t="str">
        <x:v>gpt-5.6-luna</x:v>
      </x:c>
      <x:c r="C7" s="13" t="str">
        <x:v>output</x:v>
      </x:c>
      <x:c r="D7" s="13" t="str">
        <x:v>USD/MTok</x:v>
      </x:c>
      <x:c r="E7" s="13" t="n">
        <x:v>1.2</x:v>
      </x:c>
      <x:c r="F7" s="13" t="str">
        <x:v>standard short-context</x:v>
      </x:c>
      <x:c r="G7" s="13" t="str">
        <x:v>https://developers.openai.com/api/docs/pricing</x:v>
      </x:c>
      <x:c r="H7" s="13" t="str">
        <x:v>2026-08-11</x:v>
      </x:c>
    </x:row>
    <x:row r="8">
      <x:c r="A8" s="13" t="str">
        <x:v>OpenAI</x:v>
      </x:c>
      <x:c r="B8" s="13" t="str">
        <x:v>web_search</x:v>
      </x:c>
      <x:c r="C8" s="13" t="str">
        <x:v>call</x:v>
      </x:c>
      <x:c r="D8" s="13" t="str">
        <x:v>USD/1000</x:v>
      </x:c>
      <x:c r="E8" s="13" t="n">
        <x:v>10</x:v>
      </x:c>
      <x:c r="F8" s="13" t="str">
        <x:v>all models</x:v>
      </x:c>
      <x:c r="G8" s="13" t="str">
        <x:v>https://developers.openai.com/api/docs/pricing</x:v>
      </x:c>
      <x:c r="H8" s="13" t="str">
        <x:v>2026-08-11</x:v>
      </x:c>
    </x:row>
    <x:row r="9">
      <x:c r="A9" s="13" t="str">
        <x:v>OpenAI</x:v>
      </x:c>
      <x:c r="B9" s="13" t="str">
        <x:v>file_search</x:v>
      </x:c>
      <x:c r="C9" s="13" t="str">
        <x:v>call</x:v>
      </x:c>
      <x:c r="D9" s="13" t="str">
        <x:v>USD/1000</x:v>
      </x:c>
      <x:c r="E9" s="13" t="n">
        <x:v>2.5</x:v>
      </x:c>
      <x:c r="F9" s="13" t="str">
        <x:v>Responses API</x:v>
      </x:c>
      <x:c r="G9" s="13" t="str">
        <x:v>https://developers.openai.com/api/docs/pricing</x:v>
      </x:c>
      <x:c r="H9" s="13" t="str">
        <x:v>2026-08-11</x:v>
      </x:c>
    </x:row>
    <x:row r="10">
      <x:c r="A10" s="13" t="str">
        <x:v>OpenAI</x:v>
      </x:c>
      <x:c r="B10" s="13" t="str">
        <x:v>container 1GB</x:v>
      </x:c>
      <x:c r="C10" s="13" t="str">
        <x:v>session</x:v>
      </x:c>
      <x:c r="D10" s="13" t="str">
        <x:v>USD/session</x:v>
      </x:c>
      <x:c r="E10" s="13" t="n">
        <x:v>0.03</x:v>
      </x:c>
      <x:c r="F10" s="13" t="str">
        <x:v>20-minute listed session</x:v>
      </x:c>
      <x:c r="G10" s="13" t="str">
        <x:v>https://developers.openai.com/api/docs/pricing</x:v>
      </x:c>
      <x:c r="H10" s="13" t="str">
        <x:v>2026-08-11</x:v>
      </x:c>
    </x:row>
    <x:row r="11">
      <x:c r="A11" s="13" t="str">
        <x:v>Anthropic</x:v>
      </x:c>
      <x:c r="B11" s="13" t="str">
        <x:v>web_search</x:v>
      </x:c>
      <x:c r="C11" s="13" t="str">
        <x:v>search</x:v>
      </x:c>
      <x:c r="D11" s="13" t="str">
        <x:v>USD/1000</x:v>
      </x:c>
      <x:c r="E11" s="13" t="n">
        <x:v>10</x:v>
      </x:c>
      <x:c r="F11" s="13" t="str">
        <x:v>API</x:v>
      </x:c>
      <x:c r="G11" s="13" t="str">
        <x:v>https://platform.claude.com/docs/en/about-claude/pricing</x:v>
      </x:c>
      <x:c r="H11" s="13" t="str">
        <x:v>2026-08-11</x:v>
      </x:c>
    </x:row>
    <x:row r="12">
      <x:c r="A12" s="13" t="str">
        <x:v>Anthropic</x:v>
      </x:c>
      <x:c r="B12" s="13" t="str">
        <x:v>Managed Agents</x:v>
      </x:c>
      <x:c r="C12" s="13" t="str">
        <x:v>runtime</x:v>
      </x:c>
      <x:c r="D12" s="13" t="str">
        <x:v>USD/session-hour</x:v>
      </x:c>
      <x:c r="E12" s="13" t="n">
        <x:v>0.08</x:v>
      </x:c>
      <x:c r="F12" s="13" t="str">
        <x:v>running status</x:v>
      </x:c>
      <x:c r="G12" s="13" t="str">
        <x:v>https://platform.claude.com/docs/en/about-claude/pricing</x:v>
      </x:c>
      <x:c r="H12" s="13" t="str">
        <x:v>2026-08-11</x:v>
      </x:c>
    </x:row>
    <x:row r="13">
      <x:c r="A13" s="13" t="str">
        <x:v>Google Cloud</x:v>
      </x:c>
      <x:c r="B13" s="13" t="str">
        <x:v>Agent Engine sessions</x:v>
      </x:c>
      <x:c r="C13" s="13" t="str">
        <x:v>events</x:v>
      </x:c>
      <x:c r="D13" s="13" t="str">
        <x:v>USD/1000</x:v>
      </x:c>
      <x:c r="E13" s="13" t="n">
        <x:v>0.25</x:v>
      </x:c>
      <x:c r="F13" s="13" t="str">
        <x:v>stored events</x:v>
      </x:c>
      <x:c r="G13" s="13" t="str">
        <x:v>https://cloud.google.com/blog/products/ai-machine-learning/new-enhanced-tool-governance-in-vertex-ai-agent-builder</x:v>
      </x:c>
      <x:c r="H13" s="13" t="str">
        <x:v>2026-08-11</x:v>
      </x:c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3"/>
      <x:c r="B15" s="13"/>
      <x:c r="C15" s="13"/>
      <x:c r="D15" s="13"/>
      <x:c r="E15" s="13"/>
      <x:c r="F15" s="13"/>
      <x:c r="G15" s="13"/>
      <x:c r="H15" s="13"/>
    </x:row>
    <x:row r="16">
      <x:c r="A16" s="13"/>
      <x:c r="B16" s="13"/>
      <x:c r="C16" s="13"/>
      <x:c r="D16" s="13"/>
      <x:c r="E16" s="13"/>
      <x:c r="F16" s="13"/>
      <x:c r="G16" s="13"/>
      <x:c r="H16" s="13"/>
    </x:row>
    <x:row r="17">
      <x:c r="A17" s="13"/>
      <x:c r="B17" s="13"/>
      <x:c r="C17" s="13"/>
      <x:c r="D17" s="13"/>
      <x:c r="E17" s="13"/>
      <x:c r="F17" s="13"/>
      <x:c r="G17" s="13"/>
      <x:c r="H17" s="13"/>
    </x:row>
    <x:row r="18">
      <x:c r="A18" s="13"/>
      <x:c r="B18" s="13"/>
      <x:c r="C18" s="13"/>
      <x:c r="D18" s="13"/>
      <x:c r="E18" s="13"/>
      <x:c r="F18" s="13"/>
      <x:c r="G18" s="13"/>
      <x:c r="H18" s="13"/>
    </x:row>
    <x:row r="19">
      <x:c r="A19" s="13"/>
      <x:c r="B19" s="13"/>
      <x:c r="C19" s="13"/>
      <x:c r="D19" s="13"/>
      <x:c r="E19" s="13"/>
      <x:c r="F19" s="13"/>
      <x:c r="G19" s="13"/>
      <x:c r="H19" s="13"/>
    </x:row>
    <x:row r="20">
      <x:c r="A20" s="13"/>
      <x:c r="B20" s="13"/>
      <x:c r="C20" s="13"/>
      <x:c r="D20" s="13"/>
      <x:c r="E20" s="13"/>
      <x:c r="F20" s="13"/>
      <x:c r="G20" s="13"/>
      <x:c r="H20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70" hidden="0" customWidth="1"/>
  </x:cols>
  <x:sheetData>
    <x:row r="1">
      <x:c r="A1" s="14" t="str">
        <x:v>Input</x:v>
      </x:c>
      <x:c r="B1" s="14" t="str">
        <x:v>Value</x:v>
      </x:c>
      <x:c r="C1" s="14" t="str">
        <x:v>Unit</x:v>
      </x:c>
      <x:c r="D1" s="14" t="str">
        <x:v>Note</x:v>
      </x:c>
    </x:row>
    <x:row r="2">
      <x:c r="A2" s="13" t="str">
        <x:v>External user RPS</x:v>
      </x:c>
      <x:c r="B2" s="22" t="n">
        <x:v>100</x:v>
      </x:c>
      <x:c r="C2" s="13" t="str">
        <x:v>requests/s</x:v>
      </x:c>
      <x:c r="D2" s="13" t="str">
        <x:v>Capacity example input.</x:v>
      </x:c>
    </x:row>
    <x:row r="3">
      <x:c r="A3" s="13" t="str">
        <x:v>Base model calls/run</x:v>
      </x:c>
      <x:c r="B3" s="22" t="n">
        <x:v>3</x:v>
      </x:c>
      <x:c r="C3" s="13" t="str">
        <x:v>calls/request</x:v>
      </x:c>
      <x:c r="D3" s="13" t="str">
        <x:v>Before retry amplification.</x:v>
      </x:c>
    </x:row>
    <x:row r="4">
      <x:c r="A4" s="13" t="str">
        <x:v>Tool calls/run</x:v>
      </x:c>
      <x:c r="B4" s="22" t="n">
        <x:v>8</x:v>
      </x:c>
      <x:c r="C4" s="13" t="str">
        <x:v>calls/request</x:v>
      </x:c>
      <x:c r="D4" s="13" t="str">
        <x:v>Includes search/retrieval/external tools.</x:v>
      </x:c>
    </x:row>
    <x:row r="5">
      <x:c r="A5" s="13" t="str">
        <x:v>Mandatory operations</x:v>
      </x:c>
      <x:c r="B5" s="22" t="n">
        <x:v>7</x:v>
      </x:c>
      <x:c r="C5" s="13" t="str">
        <x:v>operations</x:v>
      </x:c>
      <x:c r="D5" s="13" t="str">
        <x:v>Used only in simple independence reliability model.</x:v>
      </x:c>
    </x:row>
    <x:row r="6">
      <x:c r="A6" s="13" t="str">
        <x:v>Per-operation success</x:v>
      </x:c>
      <x:c r="B6" s="23" t="n">
        <x:v>0.992</x:v>
      </x:c>
      <x:c r="C6" s="13" t="str">
        <x:v>probability</x:v>
      </x:c>
      <x:c r="D6" s="13" t="str">
        <x:v>HOUSE ASSUMPTION unless measured.</x:v>
      </x:c>
    </x:row>
    <x:row r="7">
      <x:c r="A7" s="13" t="str">
        <x:v>Per-attempt failure/retry probability</x:v>
      </x:c>
      <x:c r="B7" s="23" t="n">
        <x:v>0.08</x:v>
      </x:c>
      <x:c r="C7" s="13" t="str">
        <x:v>probability</x:v>
      </x:c>
      <x:c r="D7" s="13" t="str">
        <x:v>Used for retry amplification.</x:v>
      </x:c>
    </x:row>
    <x:row r="8">
      <x:c r="A8" s="13" t="str">
        <x:v>Max retries</x:v>
      </x:c>
      <x:c r="B8" s="22" t="n">
        <x:v>1</x:v>
      </x:c>
      <x:c r="C8" s="13" t="str">
        <x:v>retries</x:v>
      </x:c>
      <x:c r="D8" s="13" t="str">
        <x:v>Additional attempts.</x:v>
      </x:c>
    </x:row>
    <x:row r="9">
      <x:c r="A9" s="13" t="str">
        <x:v>Branching factor b</x:v>
      </x:c>
      <x:c r="B9" s="22" t="n">
        <x:v>2</x:v>
      </x:c>
      <x:c r="C9" s="13" t="str">
        <x:v>children/active node</x:v>
      </x:c>
      <x:c r="D9" s="13" t="str">
        <x:v>Bounded-tree teaching model.</x:v>
      </x:c>
    </x:row>
    <x:row r="10">
      <x:c r="A10" s="13" t="str">
        <x:v>Branch activation probability</x:v>
      </x:c>
      <x:c r="B10" s="22" t="n">
        <x:v>0.5</x:v>
      </x:c>
      <x:c r="C10" s="13" t="str">
        <x:v>probability</x:v>
      </x:c>
      <x:c r="D10" s="13" t="str">
        <x:v>Expected active children factor is b*p.</x:v>
      </x:c>
    </x:row>
    <x:row r="11">
      <x:c r="A11" s="13" t="str">
        <x:v>Max depth d</x:v>
      </x:c>
      <x:c r="B11" s="22" t="n">
        <x:v>4</x:v>
      </x:c>
      <x:c r="C11" s="13" t="str">
        <x:v>levels</x:v>
      </x:c>
      <x:c r="D11" s="13" t="str">
        <x:v>Root is depth 0.</x:v>
      </x:c>
    </x:row>
    <x:row r="12">
      <x:c r="A12" s="13" t="str">
        <x:v>Mean model call duration</x:v>
      </x:c>
      <x:c r="B12" s="22" t="n">
        <x:v>1.8</x:v>
      </x:c>
      <x:c r="C12" s="13" t="str">
        <x:v>seconds</x:v>
      </x:c>
      <x:c r="D12" s="13" t="str">
        <x:v>For concurrency calculation.</x:v>
      </x:c>
    </x:row>
    <x:row r="13">
      <x:c r="A13" s="13" t="str">
        <x:v>Mean tool call duration</x:v>
      </x:c>
      <x:c r="B13" s="22" t="n">
        <x:v>1.2</x:v>
      </x:c>
      <x:c r="C13" s="13" t="str">
        <x:v>seconds</x:v>
      </x:c>
      <x:c r="D13" s="13" t="str">
        <x:v>For concurrency calculation.</x:v>
      </x:c>
    </x:row>
    <x:row r="14">
      <x:c r="A14" s="13" t="str">
        <x:v>Peak burst factor</x:v>
      </x:c>
      <x:c r="B14" s="23" t="n">
        <x:v>1.5</x:v>
      </x:c>
      <x:c r="C14" s="13" t="str">
        <x:v>ratio</x:v>
      </x:c>
      <x:c r="D14" s="13" t="str">
        <x:v>Applied to mean upstream RPS for peak provisioning illustration.</x:v>
      </x:c>
    </x:row>
    <x:row r="15">
      <x:c r="A15" s="13" t="str">
        <x:v>Required headroom</x:v>
      </x:c>
      <x:c r="B15" s="23" t="n">
        <x:v>0.2</x:v>
      </x:c>
      <x:c r="C15" s="13" t="str">
        <x:v>ratio</x:v>
      </x:c>
      <x:c r="D15" s="13" t="str">
        <x:v>Capacity policy input.</x:v>
      </x:c>
    </x:row>
    <x:row r="16">
      <x:c r="A16" s="13"/>
      <x:c r="B16" s="13"/>
      <x:c r="C16" s="13"/>
      <x:c r="D16" s="13"/>
    </x:row>
    <x:row r="17">
      <x:c r="A17" s="13"/>
      <x:c r="B17" s="13"/>
      <x:c r="C17" s="13"/>
      <x:c r="D17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2" hidden="0" customWidth="1"/>
  </x:cols>
  <x:sheetData>
    <x:row r="1">
      <x:c r="A1" s="10" t="str">
        <x:v>Node</x:v>
      </x:c>
      <x:c r="B1" s="10" t="str">
        <x:v>Class</x:v>
      </x:c>
      <x:c r="C1" s="10" t="str">
        <x:v>Reach q_i</x:v>
      </x:c>
      <x:c r="D1" s="10" t="str">
        <x:v>Per-attempt success p_i</x:v>
      </x:c>
      <x:c r="E1" s="10" t="str">
        <x:v>Max retries</x:v>
      </x:c>
      <x:c r="F1" s="10" t="str">
        <x:v>Expected attempts if reached</x:v>
      </x:c>
      <x:c r="G1" s="10" t="str">
        <x:v>Eventual node success</x:v>
      </x:c>
      <x:c r="H1" s="10" t="str">
        <x:v>Cost/attempt USD</x:v>
      </x:c>
      <x:c r="I1" s="10" t="str">
        <x:v>Latency/attempt s</x:v>
      </x:c>
      <x:c r="J1" s="10" t="str">
        <x:v>Expected cost contribution</x:v>
      </x:c>
      <x:c r="K1" s="10" t="str">
        <x:v>Expected work contribution</x:v>
      </x:c>
      <x:c r="L1" s="10" t="str">
        <x:v>Required?</x:v>
      </x:c>
    </x:row>
    <x:row r="2">
      <x:c r="A2" t="str">
        <x:v>planner</x:v>
      </x:c>
      <x:c r="B2" t="str">
        <x:v>model</x:v>
      </x:c>
      <x:c r="C2" s="18" t="n">
        <x:v>1</x:v>
      </x:c>
      <x:c r="D2" s="18" t="n">
        <x:v>0.995</x:v>
      </x:c>
      <x:c r="E2" s="18" t="n">
        <x:v>1</x:v>
      </x:c>
      <x:c r="F2" s="26" t="n">
        <x:f>IF(D2&lt;=0,NA(),SUM(1,(1-D2)*IF(E2&gt;=1,1,0)))</x:f>
        <x:v>1.005</x:v>
      </x:c>
      <x:c r="G2" s="26" t="n">
        <x:f>1-(1-D2)^(E2+1)</x:f>
        <x:v>0.999975</x:v>
      </x:c>
      <x:c r="H2" s="26" t="n">
        <x:v>0.01</x:v>
      </x:c>
      <x:c r="I2" s="26" t="n">
        <x:v>1.2</x:v>
      </x:c>
      <x:c r="J2" s="26" t="n">
        <x:f>C2*F2*H2</x:f>
        <x:v>0.01005</x:v>
      </x:c>
      <x:c r="K2" s="26" t="n">
        <x:f>C2*F2</x:f>
        <x:v>1.005</x:v>
      </x:c>
      <x:c r="L2" t="str">
        <x:v>YES</x:v>
      </x:c>
    </x:row>
    <x:row r="3">
      <x:c r="A3" t="str">
        <x:v>search_1</x:v>
      </x:c>
      <x:c r="B3" t="str">
        <x:v>tool</x:v>
      </x:c>
      <x:c r="C3" s="18" t="n">
        <x:v>0.95</x:v>
      </x:c>
      <x:c r="D3" s="18" t="n">
        <x:v>0.995</x:v>
      </x:c>
      <x:c r="E3" s="18" t="n">
        <x:v>1</x:v>
      </x:c>
      <x:c r="F3" s="26" t="n">
        <x:f>IF(D3&lt;=0,NA(),SUM(1,(1-D3)*IF(E3&gt;=1,1,0)))</x:f>
        <x:v>1.005</x:v>
      </x:c>
      <x:c r="G3" s="26" t="n">
        <x:f>1-(1-D3)^(E3+1)</x:f>
        <x:v>0.999975</x:v>
      </x:c>
      <x:c r="H3" s="26" t="n">
        <x:v>0.01</x:v>
      </x:c>
      <x:c r="I3" s="26" t="n">
        <x:v>1.5</x:v>
      </x:c>
      <x:c r="J3" s="26" t="n">
        <x:f>C3*F3*H3</x:f>
        <x:v>0.009547499999999999</x:v>
      </x:c>
      <x:c r="K3" s="26" t="n">
        <x:f>C3*F3</x:f>
        <x:v>0.9547499999999999</x:v>
      </x:c>
      <x:c r="L3" t="str">
        <x:v>YES</x:v>
      </x:c>
    </x:row>
    <x:row r="4">
      <x:c r="A4" t="str">
        <x:v>search_2</x:v>
      </x:c>
      <x:c r="B4" t="str">
        <x:v>tool</x:v>
      </x:c>
      <x:c r="C4" s="18" t="n">
        <x:v>0.8</x:v>
      </x:c>
      <x:c r="D4" s="18" t="n">
        <x:v>0.995</x:v>
      </x:c>
      <x:c r="E4" s="18" t="n">
        <x:v>1</x:v>
      </x:c>
      <x:c r="F4" s="26" t="n">
        <x:f>IF(D4&lt;=0,NA(),SUM(1,(1-D4)*IF(E4&gt;=1,1,0)))</x:f>
        <x:v>1.005</x:v>
      </x:c>
      <x:c r="G4" s="26" t="n">
        <x:f>1-(1-D4)^(E4+1)</x:f>
        <x:v>0.999975</x:v>
      </x:c>
      <x:c r="H4" s="26" t="n">
        <x:v>0.01</x:v>
      </x:c>
      <x:c r="I4" s="26" t="n">
        <x:v>1.5</x:v>
      </x:c>
      <x:c r="J4" s="26" t="n">
        <x:f>C4*F4*H4</x:f>
        <x:v>0.00804</x:v>
      </x:c>
      <x:c r="K4" s="26" t="n">
        <x:f>C4*F4</x:f>
        <x:v>0.8039999999999999</x:v>
      </x:c>
      <x:c r="L4" t="str">
        <x:v>NO</x:v>
      </x:c>
    </x:row>
    <x:row r="5">
      <x:c r="A5" t="str">
        <x:v>synthesis</x:v>
      </x:c>
      <x:c r="B5" t="str">
        <x:v>model</x:v>
      </x:c>
      <x:c r="C5" s="18" t="n">
        <x:v>0.98</x:v>
      </x:c>
      <x:c r="D5" s="18" t="n">
        <x:v>0.995</x:v>
      </x:c>
      <x:c r="E5" s="18" t="n">
        <x:v>1</x:v>
      </x:c>
      <x:c r="F5" s="26" t="n">
        <x:f>IF(D5&lt;=0,NA(),SUM(1,(1-D5)*IF(E5&gt;=1,1,0)))</x:f>
        <x:v>1.005</x:v>
      </x:c>
      <x:c r="G5" s="26" t="n">
        <x:f>1-(1-D5)^(E5+1)</x:f>
        <x:v>0.999975</x:v>
      </x:c>
      <x:c r="H5" s="26" t="n">
        <x:v>0.01</x:v>
      </x:c>
      <x:c r="I5" s="26" t="n">
        <x:v>2.4</x:v>
      </x:c>
      <x:c r="J5" s="26" t="n">
        <x:f>C5*F5*H5</x:f>
        <x:v>0.009848999999999998</x:v>
      </x:c>
      <x:c r="K5" s="26" t="n">
        <x:f>C5*F5</x:f>
        <x:v>0.9848999999999999</x:v>
      </x:c>
      <x:c r="L5" t="str">
        <x:v>YES</x:v>
      </x:c>
    </x:row>
    <x:row r="6">
      <x:c r="A6" t="str">
        <x:v>verify</x:v>
      </x:c>
      <x:c r="B6" t="str">
        <x:v>model</x:v>
      </x:c>
      <x:c r="C6" s="18" t="n">
        <x:v>0.8</x:v>
      </x:c>
      <x:c r="D6" s="18" t="n">
        <x:v>0.99</x:v>
      </x:c>
      <x:c r="E6" s="18" t="n">
        <x:v>1</x:v>
      </x:c>
      <x:c r="F6" s="26" t="n">
        <x:f>IF(D6&lt;=0,NA(),SUM(1,(1-D6)*IF(E6&gt;=1,1,0)))</x:f>
        <x:v>1.01</x:v>
      </x:c>
      <x:c r="G6" s="26" t="n">
        <x:f>1-(1-D6)^(E6+1)</x:f>
        <x:v>0.9999</x:v>
      </x:c>
      <x:c r="H6" s="26" t="n">
        <x:v>0.01</x:v>
      </x:c>
      <x:c r="I6" s="26" t="n">
        <x:v>1.8</x:v>
      </x:c>
      <x:c r="J6" s="26" t="n">
        <x:f>C6*F6*H6</x:f>
        <x:v>0.00808</x:v>
      </x:c>
      <x:c r="K6" s="26" t="n">
        <x:f>C6*F6</x:f>
        <x:v>0.808</x:v>
      </x:c>
      <x:c r="L6" t="str">
        <x:v>YES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0" t="str">
        <x:v>b</x:v>
      </x:c>
      <x:c r="B1" s="10" t="str">
        <x:v>activation p</x:v>
      </x:c>
      <x:c r="C1" s="10" t="str">
        <x:v>depth d</x:v>
      </x:c>
      <x:c r="D1" s="10" t="str">
        <x:v>effective fan-out b*p</x:v>
      </x:c>
      <x:c r="E1" s="10" t="str">
        <x:v>Expected bounded operations</x:v>
      </x:c>
      <x:c r="F1" s="10" t="str">
        <x:v>Interpretation</x:v>
      </x:c>
    </x:row>
    <x:row r="2">
      <x:c r="A2" s="18" t="n">
        <x:v>2</x:v>
      </x:c>
      <x:c r="B2" s="18" t="n">
        <x:v>0.5</x:v>
      </x:c>
      <x:c r="C2" s="18" t="n">
        <x:v>4</x:v>
      </x:c>
      <x:c r="D2" s="26" t="n">
        <x:f>A2*B2</x:f>
        <x:v>1</x:v>
      </x:c>
      <x:c r="E2" s="26" t="n">
        <x:f>IF(ABS(D2-1)&lt;0.0000001,C2+1,(1-D2^(C2+1))/(1-D2))</x:f>
        <x:v>5</x:v>
      </x:c>
      <x:c r="F2" t="str">
        <x:v>Root included. Bounded model remains finite even when b*p&gt;1.</x:v>
      </x:c>
    </x:row>
    <x:row r="3">
      <x:c r="A3" t="str">
        <x:v>Input state</x:v>
      </x:c>
      <x:c r="B3" t="str">
        <x:f>IF(OR(A2&lt;0,B2&lt;0,B2&gt;1,C2&lt;0,C2&lt;&gt;INT(C2)),"INVALID INPUT","PASS")</x:f>
        <x:v>PASS</x:v>
      </x:c>
      <x:c r="C3" t="str"/>
      <x:c r="D3" t="str"/>
      <x:c r="E3" t="str"/>
      <x:c r="F3" t="str"/>
    </x:row>
    <x:row r="5">
      <x:c r="A5" s="10" t="str">
        <x:v>Depth</x:v>
      </x:c>
      <x:c r="B5" s="10" t="str">
        <x:v>bp=.5</x:v>
      </x:c>
      <x:c r="C5" s="10" t="str">
        <x:v>bp=1</x:v>
      </x:c>
      <x:c r="D5" s="10" t="str">
        <x:v>bp=1.5</x:v>
      </x:c>
      <x:c r="E5" s="10" t="str">
        <x:v>bp=2</x:v>
      </x:c>
    </x:row>
    <x:row r="6">
      <x:c r="A6" t="n">
        <x:v>0</x:v>
      </x:c>
      <x:c r="B6" s="26" t="n">
        <x:f>(1-0.5^(A6+1))/(1-0.5)</x:f>
        <x:v>1</x:v>
      </x:c>
      <x:c r="C6" s="26" t="n">
        <x:f>A6+1</x:f>
        <x:v>1</x:v>
      </x:c>
      <x:c r="D6" s="26" t="n">
        <x:f>(1-1.5^(A6+1))/(1-1.5)</x:f>
        <x:v>1</x:v>
      </x:c>
      <x:c r="E6" s="26" t="n">
        <x:f>(1-2^(A6+1))/(1-2)</x:f>
        <x:v>1</x:v>
      </x:c>
    </x:row>
    <x:row r="7">
      <x:c r="A7" t="n">
        <x:v>1</x:v>
      </x:c>
      <x:c r="B7" s="26" t="n">
        <x:f>(1-0.5^(A7+1))/(1-0.5)</x:f>
        <x:v>1.5</x:v>
      </x:c>
      <x:c r="C7" s="26" t="n">
        <x:f>A7+1</x:f>
        <x:v>2</x:v>
      </x:c>
      <x:c r="D7" s="26" t="n">
        <x:f>(1-1.5^(A7+1))/(1-1.5)</x:f>
        <x:v>2.5</x:v>
      </x:c>
      <x:c r="E7" s="26" t="n">
        <x:f>(1-2^(A7+1))/(1-2)</x:f>
        <x:v>3</x:v>
      </x:c>
    </x:row>
    <x:row r="8">
      <x:c r="A8" t="n">
        <x:v>2</x:v>
      </x:c>
      <x:c r="B8" s="26" t="n">
        <x:f>(1-0.5^(A8+1))/(1-0.5)</x:f>
        <x:v>1.75</x:v>
      </x:c>
      <x:c r="C8" s="26" t="n">
        <x:f>A8+1</x:f>
        <x:v>3</x:v>
      </x:c>
      <x:c r="D8" s="26" t="n">
        <x:f>(1-1.5^(A8+1))/(1-1.5)</x:f>
        <x:v>4.75</x:v>
      </x:c>
      <x:c r="E8" s="26" t="n">
        <x:f>(1-2^(A8+1))/(1-2)</x:f>
        <x:v>7</x:v>
      </x:c>
    </x:row>
    <x:row r="9">
      <x:c r="A9" t="n">
        <x:v>3</x:v>
      </x:c>
      <x:c r="B9" s="26" t="n">
        <x:f>(1-0.5^(A9+1))/(1-0.5)</x:f>
        <x:v>1.875</x:v>
      </x:c>
      <x:c r="C9" s="26" t="n">
        <x:f>A9+1</x:f>
        <x:v>4</x:v>
      </x:c>
      <x:c r="D9" s="26" t="n">
        <x:f>(1-1.5^(A9+1))/(1-1.5)</x:f>
        <x:v>8.125</x:v>
      </x:c>
      <x:c r="E9" s="26" t="n">
        <x:f>(1-2^(A9+1))/(1-2)</x:f>
        <x:v>15</x:v>
      </x:c>
    </x:row>
    <x:row r="10">
      <x:c r="A10" t="n">
        <x:v>4</x:v>
      </x:c>
      <x:c r="B10" s="26" t="n">
        <x:f>(1-0.5^(A10+1))/(1-0.5)</x:f>
        <x:v>1.9375</x:v>
      </x:c>
      <x:c r="C10" s="26" t="n">
        <x:f>A10+1</x:f>
        <x:v>5</x:v>
      </x:c>
      <x:c r="D10" s="26" t="n">
        <x:f>(1-1.5^(A10+1))/(1-1.5)</x:f>
        <x:v>13.1875</x:v>
      </x:c>
      <x:c r="E10" s="26" t="n">
        <x:f>(1-2^(A10+1))/(1-2)</x:f>
        <x:v>31</x:v>
      </x:c>
    </x:row>
    <x:row r="11">
      <x:c r="A11" t="n">
        <x:v>5</x:v>
      </x:c>
      <x:c r="B11" s="26" t="n">
        <x:f>(1-0.5^(A11+1))/(1-0.5)</x:f>
        <x:v>1.96875</x:v>
      </x:c>
      <x:c r="C11" s="26" t="n">
        <x:f>A11+1</x:f>
        <x:v>6</x:v>
      </x:c>
      <x:c r="D11" s="26" t="n">
        <x:f>(1-1.5^(A11+1))/(1-1.5)</x:f>
        <x:v>20.78125</x:v>
      </x:c>
      <x:c r="E11" s="26" t="n">
        <x:f>(1-2^(A11+1))/(1-2)</x:f>
        <x:v>63</x:v>
      </x:c>
    </x:row>
    <x:row r="12">
      <x:c r="A12" t="n">
        <x:v>6</x:v>
      </x:c>
      <x:c r="B12" s="26" t="n">
        <x:f>(1-0.5^(A12+1))/(1-0.5)</x:f>
        <x:v>1.984375</x:v>
      </x:c>
      <x:c r="C12" s="26" t="n">
        <x:f>A12+1</x:f>
        <x:v>7</x:v>
      </x:c>
      <x:c r="D12" s="26" t="n">
        <x:f>(1-1.5^(A12+1))/(1-1.5)</x:f>
        <x:v>32.171875</x:v>
      </x:c>
      <x:c r="E12" s="26" t="n">
        <x:f>(1-2^(A12+1))/(1-2)</x:f>
        <x:v>127</x:v>
      </x:c>
    </x:row>
    <x:row r="13">
      <x:c r="A13" t="n">
        <x:v>7</x:v>
      </x:c>
      <x:c r="B13" s="26" t="n">
        <x:f>(1-0.5^(A13+1))/(1-0.5)</x:f>
        <x:v>1.9921875</x:v>
      </x:c>
      <x:c r="C13" s="26" t="n">
        <x:f>A13+1</x:f>
        <x:v>8</x:v>
      </x:c>
      <x:c r="D13" s="26" t="n">
        <x:f>(1-1.5^(A13+1))/(1-1.5)</x:f>
        <x:v>49.2578125</x:v>
      </x:c>
      <x:c r="E13" s="26" t="n">
        <x:f>(1-2^(A13+1))/(1-2)</x:f>
        <x:v>255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50" hidden="0" customWidth="1"/>
  </x:cols>
  <x:sheetData>
    <x:row r="1">
      <x:c r="A1" s="10" t="str">
        <x:v>Cost input/output</x:v>
      </x:c>
      <x:c r="B1" s="10" t="str">
        <x:v>Value</x:v>
      </x:c>
      <x:c r="C1" s="10" t="str">
        <x:v>Unit</x:v>
      </x:c>
      <x:c r="D1" s="10" t="str">
        <x:v>Formula</x:v>
      </x:c>
    </x:row>
    <x:row r="2">
      <x:c r="A2" t="str">
        <x:v>Input tokens/model call</x:v>
      </x:c>
      <x:c r="B2" s="18" t="n">
        <x:v>3500</x:v>
      </x:c>
      <x:c r="C2" t="str">
        <x:v>tokens</x:v>
      </x:c>
      <x:c r="D2" t="str">
        <x:v>input</x:v>
      </x:c>
    </x:row>
    <x:row r="3">
      <x:c r="A3" t="str">
        <x:v>Output tokens/model call</x:v>
      </x:c>
      <x:c r="B3" s="18" t="n">
        <x:v>1000</x:v>
      </x:c>
      <x:c r="C3" t="str">
        <x:v>tokens</x:v>
      </x:c>
      <x:c r="D3" t="str">
        <x:v>input</x:v>
      </x:c>
    </x:row>
    <x:row r="4">
      <x:c r="A4" t="str">
        <x:v>Model input price</x:v>
      </x:c>
      <x:c r="B4" s="18" t="n">
        <x:v>2</x:v>
      </x:c>
      <x:c r="C4" t="str">
        <x:v>USD/MTok</x:v>
      </x:c>
      <x:c r="D4" t="str">
        <x:v>Terra current standard</x:v>
      </x:c>
    </x:row>
    <x:row r="5">
      <x:c r="A5" t="str">
        <x:v>Model output price</x:v>
      </x:c>
      <x:c r="B5" s="18" t="n">
        <x:v>12</x:v>
      </x:c>
      <x:c r="C5" t="str">
        <x:v>USD/MTok</x:v>
      </x:c>
      <x:c r="D5" t="str">
        <x:v>Terra current standard</x:v>
      </x:c>
    </x:row>
    <x:row r="6">
      <x:c r="A6" t="str">
        <x:v>Expected model calls</x:v>
      </x:c>
      <x:c r="B6" s="18" t="n">
        <x:v>3.25</x:v>
      </x:c>
      <x:c r="C6" t="str">
        <x:v>calls/request</x:v>
      </x:c>
      <x:c r="D6" t="str">
        <x:v>scenario input</x:v>
      </x:c>
    </x:row>
    <x:row r="7">
      <x:c r="A7" t="str">
        <x:v>Web searches</x:v>
      </x:c>
      <x:c r="B7" s="18" t="n">
        <x:v>6</x:v>
      </x:c>
      <x:c r="C7" t="str">
        <x:v>searches/request</x:v>
      </x:c>
      <x:c r="D7" t="str">
        <x:v>scenario input</x:v>
      </x:c>
    </x:row>
    <x:row r="8">
      <x:c r="A8" t="str">
        <x:v>File searches</x:v>
      </x:c>
      <x:c r="B8" s="18" t="n">
        <x:v>2</x:v>
      </x:c>
      <x:c r="C8" t="str">
        <x:v>calls/request</x:v>
      </x:c>
      <x:c r="D8" t="str">
        <x:v>scenario input</x:v>
      </x:c>
    </x:row>
    <x:row r="9">
      <x:c r="A9" t="str">
        <x:v>Web search meter</x:v>
      </x:c>
      <x:c r="B9" s="18" t="n">
        <x:v>0.01</x:v>
      </x:c>
      <x:c r="C9" t="str">
        <x:v>USD/search</x:v>
      </x:c>
      <x:c r="D9" t="str">
        <x:v>$10/1000</x:v>
      </x:c>
    </x:row>
    <x:row r="10">
      <x:c r="A10" t="str">
        <x:v>File search meter</x:v>
      </x:c>
      <x:c r="B10" s="18" t="n">
        <x:v>0.0025</x:v>
      </x:c>
      <x:c r="C10" t="str">
        <x:v>USD/call</x:v>
      </x:c>
      <x:c r="D10" t="str">
        <x:v>$2.50/1000</x:v>
      </x:c>
    </x:row>
    <x:row r="11">
      <x:c r="A11" t="str">
        <x:v>Model cost/request</x:v>
      </x:c>
      <x:c r="B11" s="26" t="n">
        <x:f>B6*(B2*B4/1000000+B3*B5/1000000)</x:f>
        <x:v>0.06175</x:v>
      </x:c>
      <x:c r="C11" t="str">
        <x:v>USD/request</x:v>
      </x:c>
      <x:c r="D11" t="str"/>
    </x:row>
    <x:row r="12">
      <x:c r="A12" t="str">
        <x:v>Tool direct cost/request</x:v>
      </x:c>
      <x:c r="B12" s="26" t="n">
        <x:f>B7*B9+B8*B10</x:f>
        <x:v>0.065</x:v>
      </x:c>
      <x:c r="C12" t="str">
        <x:v>USD/request</x:v>
      </x:c>
      <x:c r="D12" t="str"/>
    </x:row>
    <x:row r="13">
      <x:c r="A13" t="str">
        <x:v>Attempted request direct cost</x:v>
      </x:c>
      <x:c r="B13" s="26" t="n">
        <x:f>B11+B12</x:f>
        <x:v>0.12675</x:v>
      </x:c>
      <x:c r="C13" t="str">
        <x:v>USD/request</x:v>
      </x:c>
      <x:c r="D13" t="str"/>
    </x:row>
    <x:row r="14">
      <x:c r="A14" t="str">
        <x:v>Run success probability</x:v>
      </x:c>
      <x:c r="B14" s="26" t="n">
        <x:v>0.9453262227</x:v>
      </x:c>
      <x:c r="C14" t="str">
        <x:v>probability</x:v>
      </x:c>
      <x:c r="D14" t="str">
        <x:v>scenario independence assumption</x:v>
      </x:c>
    </x:row>
    <x:row r="15">
      <x:c r="A15" t="str">
        <x:v>Expected cost/successful request</x:v>
      </x:c>
      <x:c r="B15" s="26" t="n">
        <x:f>IF(AND(B14&gt;0,B14&lt;=1),B13/B14,"INSUFFICIENT INPUT")</x:f>
        <x:v>0.1340806982355595</x:v>
      </x:c>
      <x:c r="C15" t="str">
        <x:v>USD/success</x:v>
      </x:c>
      <x:c r="D15" t="str">
        <x:v>attempt cost / success probability</x:v>
      </x:c>
    </x:row>
    <x:row r="17">
      <x:c r="A17" t="str">
        <x:v>Input state</x:v>
      </x:c>
      <x:c r="B17" t="str">
        <x:f>IF(OR(B2&lt;0,B3&lt;0,B4&lt;0,B5&lt;0,B6&lt;0,B7&lt;0,B8&lt;0,B9&lt;0,B10&lt;0,B14&lt;=0,B14&gt;1),"INVALID / INSUFFICIENT INPUT","PASS")</x:f>
        <x:v>PASS</x:v>
      </x:c>
      <x:c r="C17" t="str"/>
      <x:c r="D17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0" t="str">
        <x:v>Input/output</x:v>
      </x:c>
      <x:c r="B1" s="10" t="str">
        <x:v>Value</x:v>
      </x:c>
      <x:c r="C1" s="10" t="str">
        <x:v>Unit</x:v>
      </x:c>
      <x:c r="D1" s="10" t="str">
        <x:v>Formula</x:v>
      </x:c>
      <x:c r="E1" s="10" t="str">
        <x:v>Caveat</x:v>
      </x:c>
    </x:row>
    <x:row r="2">
      <x:c r="A2" t="str">
        <x:v>Mandatory operations</x:v>
      </x:c>
      <x:c r="B2" s="18" t="n">
        <x:v>10</x:v>
      </x:c>
      <x:c r="C2" t="str">
        <x:v>operations</x:v>
      </x:c>
      <x:c r="D2" t="str">
        <x:v>input</x:v>
      </x:c>
      <x:c r="E2" t="str">
        <x:v>Independent model only</x:v>
      </x:c>
    </x:row>
    <x:row r="3">
      <x:c r="A3" t="str">
        <x:v>Per-operation success</x:v>
      </x:c>
      <x:c r="B3" s="18" t="n">
        <x:v>0.99</x:v>
      </x:c>
      <x:c r="C3" t="str">
        <x:v>probability</x:v>
      </x:c>
      <x:c r="D3" t="str">
        <x:v>input</x:v>
      </x:c>
      <x:c r="E3" t="str">
        <x:v>Failures may be correlated</x:v>
      </x:c>
    </x:row>
    <x:row r="4">
      <x:c r="A4" t="str">
        <x:v>Run success</x:v>
      </x:c>
      <x:c r="B4" s="26" t="n">
        <x:f>IF(B9="PASS",B3^B2,"")</x:f>
        <x:v>0.9043820750088043</x:v>
      </x:c>
      <x:c r="C4" t="str">
        <x:v>probability</x:v>
      </x:c>
      <x:c r="D4" t="str">
        <x:v>p^n</x:v>
      </x:c>
      <x:c r="E4" t="str"/>
    </x:row>
    <x:row r="5">
      <x:c r="A5" t="str">
        <x:v>Per-attempt failure probability</x:v>
      </x:c>
      <x:c r="B5" s="26" t="n">
        <x:v>0.08</x:v>
      </x:c>
      <x:c r="C5" t="str">
        <x:v>probability</x:v>
      </x:c>
      <x:c r="D5" t="str">
        <x:v>input</x:v>
      </x:c>
      <x:c r="E5" t="str">
        <x:v>Retry trigger probability</x:v>
      </x:c>
    </x:row>
    <x:row r="6">
      <x:c r="A6" t="str">
        <x:v>Max retries</x:v>
      </x:c>
      <x:c r="B6" s="26" t="n">
        <x:v>1</x:v>
      </x:c>
      <x:c r="C6" t="str">
        <x:v>retries</x:v>
      </x:c>
      <x:c r="D6" t="str">
        <x:v>input</x:v>
      </x:c>
      <x:c r="E6" t="str"/>
    </x:row>
    <x:row r="7">
      <x:c r="A7" t="str">
        <x:v>Expected attempts/node</x:v>
      </x:c>
      <x:c r="B7" s="26" t="n">
        <x:f>IF(B9="PASS",IF(B6=0,1,IF(B5=1,B6+1,(1-B5^(B6+1))/(1-B5))),"")</x:f>
        <x:v>1.08</x:v>
      </x:c>
      <x:c r="C7" t="str">
        <x:v>attempts</x:v>
      </x:c>
      <x:c r="D7" t="str">
        <x:v>sum k=0..R (failure)^k</x:v>
      </x:c>
      <x:c r="E7" t="str"/>
    </x:row>
    <x:row r="8">
      <x:c r="A8" t="str">
        <x:v>Eventual node success</x:v>
      </x:c>
      <x:c r="B8" s="26" t="n">
        <x:f>IF(B9="PASS",1-B5^(B6+1),"")</x:f>
        <x:v>0.9936</x:v>
      </x:c>
      <x:c r="C8" t="str">
        <x:v>probability</x:v>
      </x:c>
      <x:c r="D8" t="str">
        <x:v>1-failure^(R+1)</x:v>
      </x:c>
      <x:c r="E8" t="str"/>
    </x:row>
    <x:row r="9">
      <x:c r="A9" t="str">
        <x:v>Input state</x:v>
      </x:c>
      <x:c r="B9" t="str">
        <x:f>IF(OR(B2&lt;0,B2&lt;&gt;INT(B2),B3&lt;0,B3&gt;1,B5&lt;0,B5&gt;1,B6&lt;0,B6&lt;&gt;INT(B6)),"INVALID INPUT","PASS")</x:f>
        <x:v>PASS</x:v>
      </x:c>
      <x:c r="C9" t="str"/>
      <x:c r="D9" t="str"/>
      <x:c r="E9" t="str"/>
    </x:row>
    <x:row r="11">
      <x:c r="A11" s="10" t="str">
        <x:v>Mandatory ops</x:v>
      </x:c>
      <x:c r="B11" s="10" t="str">
        <x:v>99% each</x:v>
      </x:c>
      <x:c r="C11" s="10" t="str">
        <x:v>99.5% each</x:v>
      </x:c>
    </x:row>
    <x:row r="12">
      <x:c r="A12" t="n">
        <x:v>1</x:v>
      </x:c>
      <x:c r="B12" s="26" t="n">
        <x:f>0.99^A12</x:f>
        <x:v>0.99</x:v>
      </x:c>
      <x:c r="C12" s="26" t="n">
        <x:f>0.995^A12</x:f>
        <x:v>0.995</x:v>
      </x:c>
    </x:row>
    <x:row r="13">
      <x:c r="A13" t="n">
        <x:v>2</x:v>
      </x:c>
      <x:c r="B13" s="26" t="n">
        <x:f>0.99^A13</x:f>
        <x:v>0.9801</x:v>
      </x:c>
      <x:c r="C13" s="26" t="n">
        <x:f>0.995^A13</x:f>
        <x:v>0.990025</x:v>
      </x:c>
    </x:row>
    <x:row r="14">
      <x:c r="A14" t="n">
        <x:v>3</x:v>
      </x:c>
      <x:c r="B14" s="26" t="n">
        <x:f>0.99^A14</x:f>
        <x:v>0.9702989999999999</x:v>
      </x:c>
      <x:c r="C14" s="26" t="n">
        <x:f>0.995^A14</x:f>
        <x:v>0.985074875</x:v>
      </x:c>
    </x:row>
    <x:row r="15">
      <x:c r="A15" t="n">
        <x:v>4</x:v>
      </x:c>
      <x:c r="B15" s="26" t="n">
        <x:f>0.99^A15</x:f>
        <x:v>0.96059601</x:v>
      </x:c>
      <x:c r="C15" s="26" t="n">
        <x:f>0.995^A15</x:f>
        <x:v>0.9801495006250001</x:v>
      </x:c>
    </x:row>
    <x:row r="16">
      <x:c r="A16" t="n">
        <x:v>5</x:v>
      </x:c>
      <x:c r="B16" s="26" t="n">
        <x:f>0.99^A16</x:f>
        <x:v>0.9509900498999999</x:v>
      </x:c>
      <x:c r="C16" s="26" t="n">
        <x:f>0.995^A16</x:f>
        <x:v>0.9752487531218751</x:v>
      </x:c>
    </x:row>
    <x:row r="17">
      <x:c r="A17" t="n">
        <x:v>6</x:v>
      </x:c>
      <x:c r="B17" s="26" t="n">
        <x:f>0.99^A17</x:f>
        <x:v>0.9414801494009999</x:v>
      </x:c>
      <x:c r="C17" s="26" t="n">
        <x:f>0.995^A17</x:f>
        <x:v>0.9703725093562657</x:v>
      </x:c>
    </x:row>
    <x:row r="18">
      <x:c r="A18" t="n">
        <x:v>7</x:v>
      </x:c>
      <x:c r="B18" s="26" t="n">
        <x:f>0.99^A18</x:f>
        <x:v>0.9320653479069899</x:v>
      </x:c>
      <x:c r="C18" s="26" t="n">
        <x:f>0.995^A18</x:f>
        <x:v>0.9655206468094844</x:v>
      </x:c>
    </x:row>
    <x:row r="19">
      <x:c r="A19" t="n">
        <x:v>8</x:v>
      </x:c>
      <x:c r="B19" s="26" t="n">
        <x:f>0.99^A19</x:f>
        <x:v>0.92274469442792</x:v>
      </x:c>
      <x:c r="C19" s="26" t="n">
        <x:f>0.995^A19</x:f>
        <x:v>0.960693043575437</x:v>
      </x:c>
    </x:row>
    <x:row r="20">
      <x:c r="A20" t="n">
        <x:v>9</x:v>
      </x:c>
      <x:c r="B20" s="26" t="n">
        <x:f>0.99^A20</x:f>
        <x:v>0.9135172474836407</x:v>
      </x:c>
      <x:c r="C20" s="26" t="n">
        <x:f>0.995^A20</x:f>
        <x:v>0.9558895783575597</x:v>
      </x:c>
    </x:row>
    <x:row r="21">
      <x:c r="A21" t="n">
        <x:v>10</x:v>
      </x:c>
      <x:c r="B21" s="26" t="n">
        <x:f>0.99^A21</x:f>
        <x:v>0.9043820750088043</x:v>
      </x:c>
      <x:c r="C21" s="26" t="n">
        <x:f>0.995^A21</x:f>
        <x:v>0.951110130465772</x:v>
      </x:c>
    </x:row>
    <x:row r="22">
      <x:c r="A22" t="n">
        <x:v>11</x:v>
      </x:c>
      <x:c r="B22" s="26" t="n">
        <x:f>0.99^A22</x:f>
        <x:v>0.8953382542587163</x:v>
      </x:c>
      <x:c r="C22" s="26" t="n">
        <x:f>0.995^A22</x:f>
        <x:v>0.9463545798134431</x:v>
      </x:c>
    </x:row>
    <x:row r="23">
      <x:c r="A23" t="n">
        <x:v>12</x:v>
      </x:c>
      <x:c r="B23" s="26" t="n">
        <x:f>0.99^A23</x:f>
        <x:v>0.8863848717161291</x:v>
      </x:c>
      <x:c r="C23" s="26" t="n">
        <x:f>0.995^A23</x:f>
        <x:v>0.9416228069143759</x:v>
      </x:c>
    </x:row>
    <x:row r="24">
      <x:c r="A24" t="n">
        <x:v>13</x:v>
      </x:c>
      <x:c r="B24" s="26" t="n">
        <x:f>0.99^A24</x:f>
        <x:v>0.8775210229989677</x:v>
      </x:c>
      <x:c r="C24" s="26" t="n">
        <x:f>0.995^A24</x:f>
        <x:v>0.9369146928798041</x:v>
      </x:c>
    </x:row>
    <x:row r="25">
      <x:c r="A25" t="n">
        <x:v>14</x:v>
      </x:c>
      <x:c r="B25" s="26" t="n">
        <x:f>0.99^A25</x:f>
        <x:v>0.8687458127689781</x:v>
      </x:c>
      <x:c r="C25" s="26" t="n">
        <x:f>0.995^A25</x:f>
        <x:v>0.9322301194154051</x:v>
      </x:c>
    </x:row>
    <x:row r="26">
      <x:c r="A26" t="n">
        <x:v>15</x:v>
      </x:c>
      <x:c r="B26" s="26" t="n">
        <x:f>0.99^A26</x:f>
        <x:v>0.8600583546412883</x:v>
      </x:c>
      <x:c r="C26" s="26" t="n">
        <x:f>0.995^A26</x:f>
        <x:v>0.9275689688183281</x:v>
      </x:c>
    </x:row>
    <x:row r="27">
      <x:c r="A27" t="n">
        <x:v>16</x:v>
      </x:c>
      <x:c r="B27" s="26" t="n">
        <x:f>0.99^A27</x:f>
        <x:v>0.8514577710948754</x:v>
      </x:c>
      <x:c r="C27" s="26" t="n">
        <x:f>0.995^A27</x:f>
        <x:v>0.9229311239742364</x:v>
      </x:c>
    </x:row>
    <x:row r="28">
      <x:c r="A28" t="n">
        <x:v>17</x:v>
      </x:c>
      <x:c r="B28" s="26" t="n">
        <x:f>0.99^A28</x:f>
        <x:v>0.8429431933839266</x:v>
      </x:c>
      <x:c r="C28" s="26" t="n">
        <x:f>0.995^A28</x:f>
        <x:v>0.9183164683543652</x:v>
      </x:c>
    </x:row>
    <x:row r="29">
      <x:c r="A29" t="n">
        <x:v>18</x:v>
      </x:c>
      <x:c r="B29" s="26" t="n">
        <x:f>0.99^A29</x:f>
        <x:v>0.8345137614500874</x:v>
      </x:c>
      <x:c r="C29" s="26" t="n">
        <x:f>0.995^A29</x:f>
        <x:v>0.9137248860125934</x:v>
      </x:c>
    </x:row>
    <x:row r="30">
      <x:c r="A30" t="n">
        <x:v>19</x:v>
      </x:c>
      <x:c r="B30" s="26" t="n">
        <x:f>0.99^A30</x:f>
        <x:v>0.8261686238355864</x:v>
      </x:c>
      <x:c r="C30" s="26" t="n">
        <x:f>0.995^A30</x:f>
        <x:v>0.9091562615825304</x:v>
      </x:c>
    </x:row>
    <x:row r="31">
      <x:c r="A31" t="n">
        <x:v>20</x:v>
      </x:c>
      <x:c r="B31" s="26" t="n">
        <x:f>0.99^A31</x:f>
        <x:v>0.8179069375972307</x:v>
      </x:c>
      <x:c r="C31" s="26" t="n">
        <x:f>0.995^A31</x:f>
        <x:v>0.9046104802746178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0" t="str">
        <x:v>Stage</x:v>
      </x:c>
      <x:c r="B1" s="10" t="str">
        <x:v>Latency s</x:v>
      </x:c>
      <x:c r="C1" s="10" t="str">
        <x:v>Mode</x:v>
      </x:c>
      <x:c r="D1" s="10" t="str">
        <x:v>Group</x:v>
      </x:c>
      <x:c r="E1" s="10" t="str">
        <x:v>Critical-path contribution</x:v>
      </x:c>
      <x:c r="F1" s="10" t="str">
        <x:v>Work contribution</x:v>
      </x:c>
    </x:row>
    <x:row r="2">
      <x:c r="A2" t="str">
        <x:v>router</x:v>
      </x:c>
      <x:c r="B2" s="18" t="n">
        <x:v>0.8</x:v>
      </x:c>
      <x:c r="C2" s="18" t="str">
        <x:v>serial</x:v>
      </x:c>
      <x:c r="D2" s="18" t="n">
        <x:v>1</x:v>
      </x:c>
      <x:c r="E2" t="n">
        <x:f>B2</x:f>
        <x:v>0.8</x:v>
      </x:c>
      <x:c r="F2" t="n">
        <x:f>B2</x:f>
        <x:v>0.8</x:v>
      </x:c>
    </x:row>
    <x:row r="3">
      <x:c r="A3" t="str">
        <x:v>specialist_1</x:v>
      </x:c>
      <x:c r="B3" s="18" t="n">
        <x:v>4.5</x:v>
      </x:c>
      <x:c r="C3" s="18" t="str">
        <x:v>parallel</x:v>
      </x:c>
      <x:c r="D3" s="18" t="n">
        <x:v>2</x:v>
      </x:c>
      <x:c r="E3" t="n">
        <x:f>0</x:f>
        <x:v>0</x:v>
      </x:c>
      <x:c r="F3" t="n">
        <x:f>B3</x:f>
        <x:v>4.5</x:v>
      </x:c>
    </x:row>
    <x:row r="4">
      <x:c r="A4" t="str">
        <x:v>specialist_2</x:v>
      </x:c>
      <x:c r="B4" s="18" t="n">
        <x:v>5.2</x:v>
      </x:c>
      <x:c r="C4" s="18" t="str">
        <x:v>parallel</x:v>
      </x:c>
      <x:c r="D4" s="18" t="n">
        <x:v>2</x:v>
      </x:c>
      <x:c r="E4" t="n">
        <x:f>0</x:f>
        <x:v>0</x:v>
      </x:c>
      <x:c r="F4" t="n">
        <x:f>B4</x:f>
        <x:v>5.2</x:v>
      </x:c>
    </x:row>
    <x:row r="5">
      <x:c r="A5" t="str">
        <x:v>specialist_3</x:v>
      </x:c>
      <x:c r="B5" s="18" t="n">
        <x:v>4.9</x:v>
      </x:c>
      <x:c r="C5" s="18" t="str">
        <x:v>parallel</x:v>
      </x:c>
      <x:c r="D5" s="18" t="n">
        <x:v>2</x:v>
      </x:c>
      <x:c r="E5" t="n">
        <x:f>0</x:f>
        <x:v>0</x:v>
      </x:c>
      <x:c r="F5" t="n">
        <x:f>B5</x:f>
        <x:v>4.9</x:v>
      </x:c>
    </x:row>
    <x:row r="6">
      <x:c r="A6" t="str">
        <x:v>specialist_4</x:v>
      </x:c>
      <x:c r="B6" s="18" t="n">
        <x:v>6.2</x:v>
      </x:c>
      <x:c r="C6" s="18" t="str">
        <x:v>parallel</x:v>
      </x:c>
      <x:c r="D6" s="18" t="n">
        <x:v>2</x:v>
      </x:c>
      <x:c r="E6" t="n">
        <x:f>MAX(B3:B6)</x:f>
        <x:v>6.2</x:v>
      </x:c>
      <x:c r="F6" t="n">
        <x:f>B6</x:f>
        <x:v>6.2</x:v>
      </x:c>
    </x:row>
    <x:row r="7">
      <x:c r="A7" t="str">
        <x:v>evaluator</x:v>
      </x:c>
      <x:c r="B7" s="18" t="n">
        <x:v>2.3</x:v>
      </x:c>
      <x:c r="C7" s="18" t="str">
        <x:v>serial</x:v>
      </x:c>
      <x:c r="D7" s="18" t="n">
        <x:v>3</x:v>
      </x:c>
      <x:c r="E7" t="n">
        <x:f>B7</x:f>
        <x:v>2.3</x:v>
      </x:c>
      <x:c r="F7" t="n">
        <x:f>B7</x:f>
        <x:v>2.3</x:v>
      </x:c>
    </x:row>
    <x:row r="8">
      <x:c r="A8" t="str">
        <x:v>synthesis</x:v>
      </x:c>
      <x:c r="B8" s="18" t="n">
        <x:v>3.2</x:v>
      </x:c>
      <x:c r="C8" s="18" t="str">
        <x:v>serial</x:v>
      </x:c>
      <x:c r="D8" s="18" t="n">
        <x:v>4</x:v>
      </x:c>
      <x:c r="E8" t="n">
        <x:f>B8</x:f>
        <x:v>3.2</x:v>
      </x:c>
      <x:c r="F8" t="n">
        <x:f>B8</x:f>
        <x:v>3.2</x:v>
      </x:c>
    </x:row>
    <x:row r="11">
      <x:c r="A11" s="10" t="str">
        <x:v>Metric</x:v>
      </x:c>
      <x:c r="B11" s="10" t="str">
        <x:v>Value</x:v>
      </x:c>
      <x:c r="C11" s="10" t="str">
        <x:v>Unit</x:v>
      </x:c>
      <x:c r="D11" s="10" t="str">
        <x:v>Meaning</x:v>
      </x:c>
    </x:row>
    <x:row r="12">
      <x:c r="A12" t="str">
        <x:v>Total work</x:v>
      </x:c>
      <x:c r="B12" s="26" t="n">
        <x:f>SUM(F2:F8)</x:f>
        <x:v>27.1</x:v>
      </x:c>
      <x:c r="C12" t="str">
        <x:v>seconds</x:v>
      </x:c>
      <x:c r="D12" t="str">
        <x:v>sum all stage durations</x:v>
      </x:c>
    </x:row>
    <x:row r="13">
      <x:c r="A13" t="str">
        <x:v>Critical path</x:v>
      </x:c>
      <x:c r="B13" s="26" t="n">
        <x:f>SUM(E2:E8)</x:f>
        <x:v>12.5</x:v>
      </x:c>
      <x:c r="C13" t="str">
        <x:v>seconds</x:v>
      </x:c>
      <x:c r="D13" t="str">
        <x:v>serial stages + max parallel group</x:v>
      </x:c>
    </x:row>
    <x:row r="14">
      <x:c r="A14" t="str">
        <x:v>Work / critical ratio</x:v>
      </x:c>
      <x:c r="B14" s="26" t="n">
        <x:f>B12/B13</x:f>
        <x:v>2.168</x:v>
      </x:c>
      <x:c r="C14" t="str">
        <x:v>ratio</x:v>
      </x:c>
      <x:c r="D14" t="str">
        <x:v>parallelism potential</x:v>
      </x:c>
    </x:row>
    <x:row r="15">
      <x:c r="A15" t="str">
        <x:v>Parallel all-required p95 transform</x:v>
      </x:c>
      <x:c r="B15" t="str">
        <x:v>q_parallel = F^-1(p^(1/n))</x:v>
      </x:c>
      <x:c r="C15" t="str"/>
      <x:c r="D15" t="str">
        <x:v>For iid branches, branch CDF evaluated at p^(1/n)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10" t="str">
        <x:v>Capacity metric</x:v>
      </x:c>
      <x:c r="B1" s="10" t="str">
        <x:v>Value</x:v>
      </x:c>
      <x:c r="C1" s="10" t="str">
        <x:v>Unit</x:v>
      </x:c>
      <x:c r="D1" s="10" t="str">
        <x:v>Formula</x:v>
      </x:c>
    </x:row>
    <x:row r="2">
      <x:c r="A2" t="str">
        <x:v>External RPS</x:v>
      </x:c>
      <x:c r="B2" s="18" t="n">
        <x:v>100</x:v>
      </x:c>
      <x:c r="C2" t="str">
        <x:v>requests/s</x:v>
      </x:c>
      <x:c r="D2" t="str">
        <x:v>input</x:v>
      </x:c>
    </x:row>
    <x:row r="3">
      <x:c r="A3" t="str">
        <x:v>Expected model calls/run</x:v>
      </x:c>
      <x:c r="B3" s="18" t="n">
        <x:v>3.25</x:v>
      </x:c>
      <x:c r="C3" t="str">
        <x:v>model calls/request</x:v>
      </x:c>
      <x:c r="D3" t="str">
        <x:v>input</x:v>
      </x:c>
    </x:row>
    <x:row r="4">
      <x:c r="A4" t="str">
        <x:v>Expected tool calls/run</x:v>
      </x:c>
      <x:c r="B4" s="18" t="n">
        <x:v>8</x:v>
      </x:c>
      <x:c r="C4" t="str">
        <x:v>tool calls/request</x:v>
      </x:c>
      <x:c r="D4" t="str">
        <x:v>input</x:v>
      </x:c>
    </x:row>
    <x:row r="5">
      <x:c r="A5" t="str">
        <x:v>Mean model duration</x:v>
      </x:c>
      <x:c r="B5" s="18" t="n">
        <x:v>1.8</x:v>
      </x:c>
      <x:c r="C5" t="str">
        <x:v>s/call</x:v>
      </x:c>
      <x:c r="D5" t="str">
        <x:v>input</x:v>
      </x:c>
    </x:row>
    <x:row r="6">
      <x:c r="A6" t="str">
        <x:v>Mean tool duration</x:v>
      </x:c>
      <x:c r="B6" s="18" t="n">
        <x:v>1.2</x:v>
      </x:c>
      <x:c r="C6" t="str">
        <x:v>s/call</x:v>
      </x:c>
      <x:c r="D6" t="str">
        <x:v>input</x:v>
      </x:c>
    </x:row>
    <x:row r="7">
      <x:c r="A7" t="str">
        <x:v>Mean model upstream RPS</x:v>
      </x:c>
      <x:c r="B7" s="26" t="n">
        <x:f>B2*B3</x:f>
        <x:v>325</x:v>
      </x:c>
      <x:c r="C7" t="str">
        <x:v>model calls/s</x:v>
      </x:c>
      <x:c r="D7" t="str">
        <x:v>external RPS * calls/run</x:v>
      </x:c>
    </x:row>
    <x:row r="8">
      <x:c r="A8" t="str">
        <x:v>Mean tool upstream RPS</x:v>
      </x:c>
      <x:c r="B8" s="26" t="n">
        <x:f>B2*B4</x:f>
        <x:v>800</x:v>
      </x:c>
      <x:c r="C8" t="str">
        <x:v>tool calls/s</x:v>
      </x:c>
      <x:c r="D8" t="str">
        <x:v>external RPS * calls/run</x:v>
      </x:c>
    </x:row>
    <x:row r="9">
      <x:c r="A9" t="str">
        <x:v>Mean model concurrency</x:v>
      </x:c>
      <x:c r="B9" s="26" t="n">
        <x:f>B7*B5</x:f>
        <x:v>585</x:v>
      </x:c>
      <x:c r="C9" t="str">
        <x:v>calls in flight</x:v>
      </x:c>
      <x:c r="D9" t="str">
        <x:v>Little's Law: model RPS * mean duration</x:v>
      </x:c>
    </x:row>
    <x:row r="10">
      <x:c r="A10" t="str">
        <x:v>Mean tool concurrency</x:v>
      </x:c>
      <x:c r="B10" s="26" t="n">
        <x:f>B8*B6</x:f>
        <x:v>960</x:v>
      </x:c>
      <x:c r="C10" t="str">
        <x:v>calls in flight</x:v>
      </x:c>
      <x:c r="D10" t="str">
        <x:v>tool RPS * mean duration</x:v>
      </x:c>
    </x:row>
    <x:row r="11">
      <x:c r="A11" t="str">
        <x:v>Peak burst factor</x:v>
      </x:c>
      <x:c r="B11" s="26" t="n">
        <x:v>1.5</x:v>
      </x:c>
      <x:c r="C11" t="str">
        <x:v>ratio</x:v>
      </x:c>
      <x:c r="D11" t="str">
        <x:v>input</x:v>
      </x:c>
    </x:row>
    <x:row r="12">
      <x:c r="A12" t="str">
        <x:v>Provisioned model RPS with 20% headroom</x:v>
      </x:c>
      <x:c r="B12" s="26" t="n">
        <x:f>B7*B11*1.2</x:f>
        <x:v>585</x:v>
      </x:c>
      <x:c r="C12" t="str">
        <x:v>calls/s</x:v>
      </x:c>
      <x:c r="D12" t="str">
        <x:v>mean * burst * (1+headroom)</x:v>
      </x:c>
    </x:row>
    <x:row r="14">
      <x:c r="A14" t="str">
        <x:v>Input state</x:v>
      </x:c>
      <x:c r="B14" t="str">
        <x:f>IF(OR(B2&lt;0,B3&lt;0,B4&lt;0,B5&lt;0,B6&lt;0,B11&lt;0),"INVALID INPUT","PASS")</x:f>
        <x:v>PASS</x:v>
      </x:c>
      <x:c r="C14" t="str"/>
      <x:c r="D14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38" customHeight="1">
      <x:c r="A1" s="14" t="str">
        <x:v>scenario</x:v>
      </x:c>
      <x:c r="B1" s="14" t="str">
        <x:v>expected_model_calls</x:v>
      </x:c>
      <x:c r="C1" s="14" t="str">
        <x:v>expected_tool_calls</x:v>
      </x:c>
      <x:c r="D1" s="14" t="str">
        <x:v>expected_total_operations</x:v>
      </x:c>
      <x:c r="E1" s="14" t="str">
        <x:v>expected_tokens</x:v>
      </x:c>
      <x:c r="F1" s="14" t="str">
        <x:v>direct_model_cost_usd</x:v>
      </x:c>
      <x:c r="G1" s="14" t="str">
        <x:v>direct_tool_cost_usd</x:v>
      </x:c>
      <x:c r="H1" s="14" t="str">
        <x:v>attempt_cost_usd</x:v>
      </x:c>
      <x:c r="I1" s="14" t="str">
        <x:v>independent_success_probability</x:v>
      </x:c>
      <x:c r="J1" s="14" t="str">
        <x:v>expected_cost_per_successful_request_usd</x:v>
      </x:c>
      <x:c r="K1" s="14" t="str">
        <x:v>critical_path_latency_s</x:v>
      </x:c>
      <x:c r="L1" s="14" t="str">
        <x:v>peak_internal_concurrency</x:v>
      </x:c>
      <x:c r="M1" s="14" t="str">
        <x:v>status</x:v>
      </x:c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A_SIMPLE_TOOL_AGENT</x:v>
      </x:c>
      <x:c r="B2" s="13" t="n">
        <x:v>2.1</x:v>
      </x:c>
      <x:c r="C2" s="13" t="n">
        <x:v>1.5</x:v>
      </x:c>
      <x:c r="D2" s="13" t="n">
        <x:v>3.6</x:v>
      </x:c>
      <x:c r="E2" s="13" t="n">
        <x:v>4410</x:v>
      </x:c>
      <x:c r="F2" s="13" t="n">
        <x:v>0.0019320000000000001</x:v>
      </x:c>
      <x:c r="G2" s="13" t="n">
        <x:v>0.01</x:v>
      </x:c>
      <x:c r="H2" s="13" t="n">
        <x:v>0.011932</x:v>
      </x:c>
      <x:c r="I2" s="13" t="n">
        <x:v>0.985074875</x:v>
      </x:c>
      <x:c r="J2" s="13" t="n">
        <x:v>0.012112784827650791</x:v>
      </x:c>
      <x:c r="K2" s="13" t="n">
        <x:v>2.8</x:v>
      </x:c>
      <x:c r="L2" s="13" t="n">
        <x:v>1</x:v>
      </x:c>
      <x:c r="M2" s="13" t="str">
        <x:v>DERIVED RESULT FROM HOUSE ASSUMPTIONS + CURRENT OPENAI PRICE METERS</x:v>
      </x:c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3" t="str">
        <x:v>B_RESEARCH_AGENT</x:v>
      </x:c>
      <x:c r="B3" s="13" t="n">
        <x:v>3.25</x:v>
      </x:c>
      <x:c r="C3" s="13" t="n">
        <x:v>8</x:v>
      </x:c>
      <x:c r="D3" s="13" t="n">
        <x:v>11.25</x:v>
      </x:c>
      <x:c r="E3" s="13" t="n">
        <x:v>14625</x:v>
      </x:c>
      <x:c r="F3" s="13" t="n">
        <x:v>0.06175</x:v>
      </x:c>
      <x:c r="G3" s="13" t="n">
        <x:v>0.065</x:v>
      </x:c>
      <x:c r="H3" s="13" t="n">
        <x:v>0.12675</x:v>
      </x:c>
      <x:c r="I3" s="13" t="n">
        <x:v>0.9453262226737048</x:v>
      </x:c>
      <x:c r="J3" s="13" t="n">
        <x:v>0.13408069823928906</x:v>
      </x:c>
      <x:c r="K3" s="13" t="n">
        <x:v>8.5</x:v>
      </x:c>
      <x:c r="L3" s="13" t="n">
        <x:v>6</x:v>
      </x:c>
      <x:c r="M3" s="13" t="str">
        <x:v>DERIVED RESULT FROM HOUSE ASSUMPTIONS + CURRENT OPENAI PRICE METERS</x:v>
      </x:c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3" t="str">
        <x:v>C_MULTI_AGENT_ENTERPRISE</x:v>
      </x:c>
      <x:c r="B4" s="13" t="n">
        <x:v>7.6</x:v>
      </x:c>
      <x:c r="C4" s="13" t="n">
        <x:v>12</x:v>
      </x:c>
      <x:c r="D4" s="13" t="n">
        <x:v>19.6</x:v>
      </x:c>
      <x:c r="E4" s="13" t="n">
        <x:v>41040</x:v>
      </x:c>
      <x:c r="F4" s="13" t="n">
        <x:v>0.18214000000000002</x:v>
      </x:c>
      <x:c r="G4" s="13" t="n">
        <x:v>0.055</x:v>
      </x:c>
      <x:c r="H4" s="13" t="n">
        <x:v>0.23714000000000002</x:v>
      </x:c>
      <x:c r="I4" s="13" t="n">
        <x:v>0.9043820750088044</x:v>
      </x:c>
      <x:c r="J4" s="13" t="n">
        <x:v>0.2622121850410308</x:v>
      </x:c>
      <x:c r="K4" s="13" t="n">
        <x:v>12.5</x:v>
      </x:c>
      <x:c r="L4" s="13" t="n">
        <x:v>6</x:v>
      </x:c>
      <x:c r="M4" s="13" t="str">
        <x:v>DERIVED RESULT FROM HOUSE ASSUMPTIONS + CURRENT OPENAI PRICE METERS</x:v>
      </x:c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0" t="str">
        <x:v>Retry failure p</x:v>
      </x:c>
      <x:c r="B1" s="10" t="str">
        <x:v>Expected attempts unbounded</x:v>
      </x:c>
      <x:c r="C1" s="10" t="str">
        <x:v>Cost multiplier</x:v>
      </x:c>
      <x:c r="D1" s="10" t="str">
        <x:v>One-retry multiplier</x:v>
      </x:c>
      <x:c r="E1" s="10" t="str">
        <x:v>Run success 10 ops @ per-op=1-p</x:v>
      </x:c>
      <x:c r="F1" s="10" t="str">
        <x:v>Interpretation</x:v>
      </x:c>
    </x:row>
    <x:row r="2">
      <x:c r="A2" s="28" t="n">
        <x:v>0</x:v>
      </x:c>
      <x:c r="B2" s="26" t="n">
        <x:f>IF(A2&gt;=1,NA(),1/(1-A2))</x:f>
        <x:v>1</x:v>
      </x:c>
      <x:c r="C2" s="26" t="n">
        <x:f>B2</x:f>
        <x:v>1</x:v>
      </x:c>
      <x:c r="D2" s="26" t="n">
        <x:f>1+A2</x:f>
        <x:v>1</x:v>
      </x:c>
      <x:c r="E2" s="30" t="n">
        <x:f>(1-A2)^10</x:f>
        <x:v>1</x:v>
      </x:c>
      <x:c r="F2" t="str">
        <x:v>Retry cost rises nonlinearly as failure probability increases.</x:v>
      </x:c>
    </x:row>
    <x:row r="3">
      <x:c r="A3" s="28" t="n">
        <x:v>0.05</x:v>
      </x:c>
      <x:c r="B3" s="26" t="n">
        <x:f>IF(A3&gt;=1,NA(),1/(1-A3))</x:f>
        <x:v>1.0526315789473684</x:v>
      </x:c>
      <x:c r="C3" s="26" t="n">
        <x:f>B3</x:f>
        <x:v>1.0526315789473684</x:v>
      </x:c>
      <x:c r="D3" s="26" t="n">
        <x:f>1+A3</x:f>
        <x:v>1.05</x:v>
      </x:c>
      <x:c r="E3" s="30" t="n">
        <x:f>(1-A3)^10</x:f>
        <x:v>0.5987369392383789</x:v>
      </x:c>
      <x:c r="F3" t="str">
        <x:v>Retry cost rises nonlinearly as failure probability increases.</x:v>
      </x:c>
    </x:row>
    <x:row r="4">
      <x:c r="A4" s="28" t="n">
        <x:v>0.1</x:v>
      </x:c>
      <x:c r="B4" s="26" t="n">
        <x:f>IF(A4&gt;=1,NA(),1/(1-A4))</x:f>
        <x:v>1.1111111111111112</x:v>
      </x:c>
      <x:c r="C4" s="26" t="n">
        <x:f>B4</x:f>
        <x:v>1.1111111111111112</x:v>
      </x:c>
      <x:c r="D4" s="26" t="n">
        <x:f>1+A4</x:f>
        <x:v>1.1</x:v>
      </x:c>
      <x:c r="E4" s="30" t="n">
        <x:f>(1-A4)^10</x:f>
        <x:v>0.34867844010000015</x:v>
      </x:c>
      <x:c r="F4" t="str">
        <x:v>Retry cost rises nonlinearly as failure probability increases.</x:v>
      </x:c>
    </x:row>
    <x:row r="5">
      <x:c r="A5" s="28" t="n">
        <x:v>0.15</x:v>
      </x:c>
      <x:c r="B5" s="26" t="n">
        <x:f>IF(A5&gt;=1,NA(),1/(1-A5))</x:f>
        <x:v>1.1764705882352942</x:v>
      </x:c>
      <x:c r="C5" s="26" t="n">
        <x:f>B5</x:f>
        <x:v>1.1764705882352942</x:v>
      </x:c>
      <x:c r="D5" s="26" t="n">
        <x:f>1+A5</x:f>
        <x:v>1.15</x:v>
      </x:c>
      <x:c r="E5" s="30" t="n">
        <x:f>(1-A5)^10</x:f>
        <x:v>0.19687440434072256</x:v>
      </x:c>
      <x:c r="F5" t="str">
        <x:v>Retry cost rises nonlinearly as failure probability increases.</x:v>
      </x:c>
    </x:row>
    <x:row r="6">
      <x:c r="A6" s="28" t="n">
        <x:v>0.2</x:v>
      </x:c>
      <x:c r="B6" s="26" t="n">
        <x:f>IF(A6&gt;=1,NA(),1/(1-A6))</x:f>
        <x:v>1.25</x:v>
      </x:c>
      <x:c r="C6" s="26" t="n">
        <x:f>B6</x:f>
        <x:v>1.25</x:v>
      </x:c>
      <x:c r="D6" s="26" t="n">
        <x:f>1+A6</x:f>
        <x:v>1.2</x:v>
      </x:c>
      <x:c r="E6" s="30" t="n">
        <x:f>(1-A6)^10</x:f>
        <x:v>0.10737418240000011</x:v>
      </x:c>
      <x:c r="F6" t="str">
        <x:v>Retry cost rises nonlinearly as failure probability increases.</x:v>
      </x:c>
    </x:row>
    <x:row r="7">
      <x:c r="A7" s="28" t="n">
        <x:v>0.25</x:v>
      </x:c>
      <x:c r="B7" s="26" t="n">
        <x:f>IF(A7&gt;=1,NA(),1/(1-A7))</x:f>
        <x:v>1.3333333333333333</x:v>
      </x:c>
      <x:c r="C7" s="26" t="n">
        <x:f>B7</x:f>
        <x:v>1.3333333333333333</x:v>
      </x:c>
      <x:c r="D7" s="26" t="n">
        <x:f>1+A7</x:f>
        <x:v>1.25</x:v>
      </x:c>
      <x:c r="E7" s="30" t="n">
        <x:f>(1-A7)^10</x:f>
        <x:v>0.056313514709472656</x:v>
      </x:c>
      <x:c r="F7" t="str">
        <x:v>Retry cost rises nonlinearly as failure probability increases.</x:v>
      </x:c>
    </x:row>
    <x:row r="8">
      <x:c r="A8" s="28" t="n">
        <x:v>0.3</x:v>
      </x:c>
      <x:c r="B8" s="26" t="n">
        <x:f>IF(A8&gt;=1,NA(),1/(1-A8))</x:f>
        <x:v>1.4285714285714286</x:v>
      </x:c>
      <x:c r="C8" s="26" t="n">
        <x:f>B8</x:f>
        <x:v>1.4285714285714286</x:v>
      </x:c>
      <x:c r="D8" s="26" t="n">
        <x:f>1+A8</x:f>
        <x:v>1.3</x:v>
      </x:c>
      <x:c r="E8" s="30" t="n">
        <x:f>(1-A8)^10</x:f>
        <x:v>0.02824752489999998</x:v>
      </x:c>
      <x:c r="F8" t="str">
        <x:v>Retry cost rises nonlinearly as failure probability increases.</x:v>
      </x:c>
    </x:row>
    <x:row r="9">
      <x:c r="A9" s="28" t="n">
        <x:v>0.4</x:v>
      </x:c>
      <x:c r="B9" s="26" t="n">
        <x:f>IF(A9&gt;=1,NA(),1/(1-A9))</x:f>
        <x:v>1.6666666666666667</x:v>
      </x:c>
      <x:c r="C9" s="26" t="n">
        <x:f>B9</x:f>
        <x:v>1.6666666666666667</x:v>
      </x:c>
      <x:c r="D9" s="26" t="n">
        <x:f>1+A9</x:f>
        <x:v>1.4</x:v>
      </x:c>
      <x:c r="E9" s="30" t="n">
        <x:f>(1-A9)^10</x:f>
        <x:v>0.006046617599999999</x:v>
      </x:c>
      <x:c r="F9" t="str">
        <x:v>Retry cost rises nonlinearly as failure probability increases.</x:v>
      </x:c>
    </x:row>
    <x:row r="12">
      <x:c r="A12" s="10" t="str">
        <x:v>Web searches/run</x:v>
      </x:c>
      <x:c r="B12" s="10" t="str">
        <x:v>Luna model token cost</x:v>
      </x:c>
      <x:c r="C12" s="10" t="str">
        <x:v>Web direct meter</x:v>
      </x:c>
      <x:c r="D12" s="10" t="str">
        <x:v>Tool/model ratio</x:v>
      </x:c>
      <x:c r="E12" s="10" t="str">
        <x:v>Tool spend &gt; model?</x:v>
      </x:c>
    </x:row>
    <x:row r="13">
      <x:c r="A13" t="n">
        <x:v>0</x:v>
      </x:c>
      <x:c r="B13" t="n">
        <x:v>0.00136</x:v>
      </x:c>
      <x:c r="C13" s="26" t="n">
        <x:f>A13*0.01</x:f>
        <x:v>0</x:v>
      </x:c>
      <x:c r="D13" s="26" t="n">
        <x:f>IF(B13&gt;0,C13/B13,NA())</x:f>
        <x:v>0</x:v>
      </x:c>
      <x:c r="E13" s="26" t="str">
        <x:f>IF(C13&gt;B13,"YES","NO")</x:f>
        <x:v>NO</x:v>
      </x:c>
    </x:row>
    <x:row r="14">
      <x:c r="A14" t="n">
        <x:v>1</x:v>
      </x:c>
      <x:c r="B14" t="n">
        <x:v>0.00136</x:v>
      </x:c>
      <x:c r="C14" s="26" t="n">
        <x:f>A14*0.01</x:f>
        <x:v>0.01</x:v>
      </x:c>
      <x:c r="D14" s="26" t="n">
        <x:f>IF(B14&gt;0,C14/B14,NA())</x:f>
        <x:v>7.352941176470588</x:v>
      </x:c>
      <x:c r="E14" s="26" t="str">
        <x:f>IF(C14&gt;B14,"YES","NO")</x:f>
        <x:v>YES</x:v>
      </x:c>
    </x:row>
    <x:row r="15">
      <x:c r="A15" t="n">
        <x:v>2</x:v>
      </x:c>
      <x:c r="B15" t="n">
        <x:v>0.00136</x:v>
      </x:c>
      <x:c r="C15" s="26" t="n">
        <x:f>A15*0.01</x:f>
        <x:v>0.02</x:v>
      </x:c>
      <x:c r="D15" s="26" t="n">
        <x:f>IF(B15&gt;0,C15/B15,NA())</x:f>
        <x:v>14.705882352941176</x:v>
      </x:c>
      <x:c r="E15" s="26" t="str">
        <x:f>IF(C15&gt;B15,"YES","NO")</x:f>
        <x:v>YES</x:v>
      </x:c>
    </x:row>
    <x:row r="16">
      <x:c r="A16" t="n">
        <x:v>3</x:v>
      </x:c>
      <x:c r="B16" t="n">
        <x:v>0.00136</x:v>
      </x:c>
      <x:c r="C16" s="26" t="n">
        <x:f>A16*0.01</x:f>
        <x:v>0.03</x:v>
      </x:c>
      <x:c r="D16" s="26" t="n">
        <x:f>IF(B16&gt;0,C16/B16,NA())</x:f>
        <x:v>22.05882352941176</x:v>
      </x:c>
      <x:c r="E16" s="26" t="str">
        <x:f>IF(C16&gt;B16,"YES","NO")</x:f>
        <x:v>YES</x:v>
      </x:c>
    </x:row>
    <x:row r="17">
      <x:c r="A17" t="n">
        <x:v>4</x:v>
      </x:c>
      <x:c r="B17" t="n">
        <x:v>0.00136</x:v>
      </x:c>
      <x:c r="C17" s="26" t="n">
        <x:f>A17*0.01</x:f>
        <x:v>0.04</x:v>
      </x:c>
      <x:c r="D17" s="26" t="n">
        <x:f>IF(B17&gt;0,C17/B17,NA())</x:f>
        <x:v>29.41176470588235</x:v>
      </x:c>
      <x:c r="E17" s="26" t="str">
        <x:f>IF(C17&gt;B17,"YES","NO")</x:f>
        <x:v>YES</x:v>
      </x:c>
    </x:row>
    <x:row r="18">
      <x:c r="A18" t="n">
        <x:v>5</x:v>
      </x:c>
      <x:c r="B18" t="n">
        <x:v>0.00136</x:v>
      </x:c>
      <x:c r="C18" s="26" t="n">
        <x:f>A18*0.01</x:f>
        <x:v>0.05</x:v>
      </x:c>
      <x:c r="D18" s="26" t="n">
        <x:f>IF(B18&gt;0,C18/B18,NA())</x:f>
        <x:v>36.76470588235294</x:v>
      </x:c>
      <x:c r="E18" s="26" t="str">
        <x:f>IF(C18&gt;B18,"YES","NO")</x:f>
        <x:v>YES</x:v>
      </x:c>
    </x:row>
    <x:row r="19">
      <x:c r="A19" t="n">
        <x:v>6</x:v>
      </x:c>
      <x:c r="B19" t="n">
        <x:v>0.00136</x:v>
      </x:c>
      <x:c r="C19" s="26" t="n">
        <x:f>A19*0.01</x:f>
        <x:v>0.06</x:v>
      </x:c>
      <x:c r="D19" s="26" t="n">
        <x:f>IF(B19&gt;0,C19/B19,NA())</x:f>
        <x:v>44.11764705882352</x:v>
      </x:c>
      <x:c r="E19" s="26" t="str">
        <x:f>IF(C19&gt;B19,"YES","NO")</x:f>
        <x:v>YES</x:v>
      </x:c>
    </x:row>
    <x:row r="20">
      <x:c r="A20" t="n">
        <x:v>7</x:v>
      </x:c>
      <x:c r="B20" t="n">
        <x:v>0.00136</x:v>
      </x:c>
      <x:c r="C20" s="26" t="n">
        <x:f>A20*0.01</x:f>
        <x:v>0.07</x:v>
      </x:c>
      <x:c r="D20" s="26" t="n">
        <x:f>IF(B20&gt;0,C20/B20,NA())</x:f>
        <x:v>51.470588235294116</x:v>
      </x:c>
      <x:c r="E20" s="26" t="str">
        <x:f>IF(C20&gt;B20,"YES","NO")</x:f>
        <x:v>YES</x:v>
      </x:c>
    </x:row>
    <x:row r="21">
      <x:c r="A21" t="n">
        <x:v>8</x:v>
      </x:c>
      <x:c r="B21" t="n">
        <x:v>0.00136</x:v>
      </x:c>
      <x:c r="C21" s="26" t="n">
        <x:f>A21*0.01</x:f>
        <x:v>0.08</x:v>
      </x:c>
      <x:c r="D21" s="26" t="n">
        <x:f>IF(B21&gt;0,C21/B21,NA())</x:f>
        <x:v>58.8235294117647</x:v>
      </x:c>
      <x:c r="E21" s="26" t="str">
        <x:f>IF(C21&gt;B21,"YES","NO")</x:f>
        <x:v>YES</x:v>
      </x:c>
    </x:row>
    <x:row r="22">
      <x:c r="A22" t="n">
        <x:v>9</x:v>
      </x:c>
      <x:c r="B22" t="n">
        <x:v>0.00136</x:v>
      </x:c>
      <x:c r="C22" s="26" t="n">
        <x:f>A22*0.01</x:f>
        <x:v>0.09</x:v>
      </x:c>
      <x:c r="D22" s="26" t="n">
        <x:f>IF(B22&gt;0,C22/B22,NA())</x:f>
        <x:v>66.17647058823529</x:v>
      </x:c>
      <x:c r="E22" s="26" t="str">
        <x:f>IF(C22&gt;B22,"YES","NO")</x:f>
        <x:v>YES</x:v>
      </x:c>
    </x:row>
    <x:row r="23">
      <x:c r="A23" t="n">
        <x:v>10</x:v>
      </x:c>
      <x:c r="B23" t="n">
        <x:v>0.00136</x:v>
      </x:c>
      <x:c r="C23" s="26" t="n">
        <x:f>A23*0.01</x:f>
        <x:v>0.1</x:v>
      </x:c>
      <x:c r="D23" s="26" t="n">
        <x:f>IF(B23&gt;0,C23/B23,NA())</x:f>
        <x:v>73.52941176470588</x:v>
      </x:c>
      <x:c r="E23" s="26" t="str">
        <x:f>IF(C23&gt;B23,"YES","NO")</x:f>
        <x:v>YES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0" t="str">
        <x:v>Assumption</x:v>
      </x:c>
      <x:c r="B1" s="10" t="str">
        <x:v>Cheap path</x:v>
      </x:c>
      <x:c r="C1" s="10" t="str">
        <x:v>Expensive path</x:v>
      </x:c>
      <x:c r="D1" s="10" t="str">
        <x:v>Note</x:v>
      </x:c>
    </x:row>
    <x:row r="2">
      <x:c r="A2" t="str">
        <x:v>Model</x:v>
      </x:c>
      <x:c r="B2" t="str">
        <x:v>gpt-5.6-luna</x:v>
      </x:c>
      <x:c r="C2" t="str">
        <x:v>gpt-5.6-terra</x:v>
      </x:c>
      <x:c r="D2" t="str">
        <x:v>Current OpenAI standard pricing</x:v>
      </x:c>
    </x:row>
    <x:row r="3">
      <x:c r="A3" t="str">
        <x:v>Input tokens/call</x:v>
      </x:c>
      <x:c r="B3" s="18" t="n">
        <x:v>2000</x:v>
      </x:c>
      <x:c r="C3" s="18" t="n">
        <x:v>2000</x:v>
      </x:c>
      <x:c r="D3" t="str"/>
    </x:row>
    <x:row r="4">
      <x:c r="A4" t="str">
        <x:v>Output tokens/call</x:v>
      </x:c>
      <x:c r="B4" s="18" t="n">
        <x:v>800</x:v>
      </x:c>
      <x:c r="C4" s="18" t="n">
        <x:v>800</x:v>
      </x:c>
      <x:c r="D4" t="str"/>
    </x:row>
    <x:row r="5">
      <x:c r="A5" t="str">
        <x:v>Cost/model call</x:v>
      </x:c>
      <x:c r="B5" s="26" t="n">
        <x:f>B3*0.2/1000000+B4*1.2/1000000</x:f>
        <x:v>0.00136</x:v>
      </x:c>
      <x:c r="C5" s="26" t="n">
        <x:f>C3*2/1000000+C4*12/1000000</x:f>
        <x:v>0.0136</x:v>
      </x:c>
      <x:c r="D5" t="str">
        <x:v>formula</x:v>
      </x:c>
    </x:row>
    <x:row r="6">
      <x:c r="A6" t="str">
        <x:v>Model calls</x:v>
      </x:c>
      <x:c r="B6" s="18" t="n">
        <x:v>5</x:v>
      </x:c>
      <x:c r="C6" s="18" t="n">
        <x:v>1</x:v>
      </x:c>
      <x:c r="D6" t="str">
        <x:v>input</x:v>
      </x:c>
    </x:row>
    <x:row r="7">
      <x:c r="A7" t="str">
        <x:v>Web searches</x:v>
      </x:c>
      <x:c r="B7" s="18" t="n">
        <x:v>0</x:v>
      </x:c>
      <x:c r="C7" s="18" t="n">
        <x:v>0</x:v>
      </x:c>
      <x:c r="D7" t="str">
        <x:v>input</x:v>
      </x:c>
    </x:row>
    <x:row r="8">
      <x:c r="A8" t="str">
        <x:v>Search direct cost/call</x:v>
      </x:c>
      <x:c r="B8" s="18" t="n">
        <x:v>0.01</x:v>
      </x:c>
      <x:c r="C8" s="18" t="n">
        <x:v>0.01</x:v>
      </x:c>
      <x:c r="D8" t="str">
        <x:v>OpenAI current web-search direct meter</x:v>
      </x:c>
    </x:row>
    <x:row r="9">
      <x:c r="A9" t="str">
        <x:v>Path direct cost</x:v>
      </x:c>
      <x:c r="B9" s="26" t="n">
        <x:f>B6*B5+B7*B8</x:f>
        <x:v>0.0068000000000000005</x:v>
      </x:c>
      <x:c r="C9" s="26" t="n">
        <x:f>C6*C5+C7*C8</x:f>
        <x:v>0.0136</x:v>
      </x:c>
      <x:c r="D9" t="str">
        <x:v>model + direct search meter</x:v>
      </x:c>
    </x:row>
    <x:row r="10">
      <x:c r="A10" t="str">
        <x:v>Cheap/expensive ratio</x:v>
      </x:c>
      <x:c r="B10" s="26" t="n">
        <x:f>IF(C9&gt;0,B9/C9,NA())</x:f>
        <x:v>0.5000000000000001</x:v>
      </x:c>
      <x:c r="C10" s="26" t="str"/>
      <x:c r="D10" t="str">
        <x:v>&lt;1 cheap path cheaper</x:v>
      </x:c>
    </x:row>
    <x:row r="11">
      <x:c r="A11" t="str">
        <x:v>Input state</x:v>
      </x:c>
      <x:c r="B11" t="str">
        <x:f>IF(OR(B3&lt;0,C3&lt;0,B4&lt;0,C4&lt;0,B6&lt;0,C6&lt;0,B7&lt;0,C7&lt;0,B8&lt;0,C8&lt;0),"INVALID INPUT","PASS")</x:f>
        <x:v>PASS</x:v>
      </x:c>
      <x:c r="C11" t="str"/>
      <x:c r="D11" t="str"/>
    </x:row>
    <x:row r="13">
      <x:c r="A13" s="10" t="str">
        <x:v>Cheap calls</x:v>
      </x:c>
      <x:c r="B13" s="10" t="str">
        <x:v>Searches</x:v>
      </x:c>
      <x:c r="C13" s="10" t="str">
        <x:v>Cheap cost</x:v>
      </x:c>
      <x:c r="D13" s="10" t="str">
        <x:v>One Terra cost</x:v>
      </x:c>
      <x:c r="E13" s="10" t="str">
        <x:v>Ratio</x:v>
      </x:c>
      <x:c r="F13" s="10" t="str">
        <x:v>Winner</x:v>
      </x:c>
    </x:row>
    <x:row r="14">
      <x:c r="A14" t="n">
        <x:v>1</x:v>
      </x:c>
      <x:c r="B14" t="n">
        <x:v>0</x:v>
      </x:c>
      <x:c r="C14" s="26" t="n">
        <x:f>A14*$B$5+B14*$B$8</x:f>
        <x:v>0.00136</x:v>
      </x:c>
      <x:c r="D14" s="26" t="n">
        <x:f>$C$5</x:f>
        <x:v>0.0136</x:v>
      </x:c>
      <x:c r="E14" s="26" t="n">
        <x:f>C14/D14</x:f>
        <x:v>0.10000000000000002</x:v>
      </x:c>
      <x:c r="F14" s="26" t="str">
        <x:f>IF(C14&lt;D14,"CHEAP PATH","EXPENSIVE PATH")</x:f>
        <x:v>CHEAP PATH</x:v>
      </x:c>
    </x:row>
    <x:row r="15">
      <x:c r="A15" t="n">
        <x:v>1</x:v>
      </x:c>
      <x:c r="B15" t="n">
        <x:v>1</x:v>
      </x:c>
      <x:c r="C15" s="26" t="n">
        <x:f>A15*$B$5+B15*$B$8</x:f>
        <x:v>0.01136</x:v>
      </x:c>
      <x:c r="D15" s="26" t="n">
        <x:f>$C$5</x:f>
        <x:v>0.0136</x:v>
      </x:c>
      <x:c r="E15" s="26" t="n">
        <x:f>C15/D15</x:f>
        <x:v>0.8352941176470589</x:v>
      </x:c>
      <x:c r="F15" s="26" t="str">
        <x:f>IF(C15&lt;D15,"CHEAP PATH","EXPENSIVE PATH")</x:f>
        <x:v>CHEAP PATH</x:v>
      </x:c>
    </x:row>
    <x:row r="16">
      <x:c r="A16" t="n">
        <x:v>1</x:v>
      </x:c>
      <x:c r="B16" t="n">
        <x:v>2</x:v>
      </x:c>
      <x:c r="C16" s="26" t="n">
        <x:f>A16*$B$5+B16*$B$8</x:f>
        <x:v>0.02136</x:v>
      </x:c>
      <x:c r="D16" s="26" t="n">
        <x:f>$C$5</x:f>
        <x:v>0.0136</x:v>
      </x:c>
      <x:c r="E16" s="26" t="n">
        <x:f>C16/D16</x:f>
        <x:v>1.5705882352941178</x:v>
      </x:c>
      <x:c r="F16" s="26" t="str">
        <x:f>IF(C16&lt;D16,"CHEAP PATH","EXPENSIVE PATH")</x:f>
        <x:v>EXPENSIVE PATH</x:v>
      </x:c>
    </x:row>
    <x:row r="17">
      <x:c r="A17" t="n">
        <x:v>1</x:v>
      </x:c>
      <x:c r="B17" t="n">
        <x:v>5</x:v>
      </x:c>
      <x:c r="C17" s="26" t="n">
        <x:f>A17*$B$5+B17*$B$8</x:f>
        <x:v>0.05136</x:v>
      </x:c>
      <x:c r="D17" s="26" t="n">
        <x:f>$C$5</x:f>
        <x:v>0.0136</x:v>
      </x:c>
      <x:c r="E17" s="26" t="n">
        <x:f>C17/D17</x:f>
        <x:v>3.7764705882352945</x:v>
      </x:c>
      <x:c r="F17" s="26" t="str">
        <x:f>IF(C17&lt;D17,"CHEAP PATH","EXPENSIVE PATH")</x:f>
        <x:v>EXPENSIVE PATH</x:v>
      </x:c>
    </x:row>
    <x:row r="18">
      <x:c r="A18" t="n">
        <x:v>1</x:v>
      </x:c>
      <x:c r="B18" t="n">
        <x:v>10</x:v>
      </x:c>
      <x:c r="C18" s="26" t="n">
        <x:f>A18*$B$5+B18*$B$8</x:f>
        <x:v>0.10136</x:v>
      </x:c>
      <x:c r="D18" s="26" t="n">
        <x:f>$C$5</x:f>
        <x:v>0.0136</x:v>
      </x:c>
      <x:c r="E18" s="26" t="n">
        <x:f>C18/D18</x:f>
        <x:v>7.452941176470589</x:v>
      </x:c>
      <x:c r="F18" s="26" t="str">
        <x:f>IF(C18&lt;D18,"CHEAP PATH","EXPENSIVE PATH")</x:f>
        <x:v>EXPENSIVE PATH</x:v>
      </x:c>
    </x:row>
    <x:row r="19">
      <x:c r="A19" t="n">
        <x:v>2</x:v>
      </x:c>
      <x:c r="B19" t="n">
        <x:v>0</x:v>
      </x:c>
      <x:c r="C19" s="26" t="n">
        <x:f>A19*$B$5+B19*$B$8</x:f>
        <x:v>0.00272</x:v>
      </x:c>
      <x:c r="D19" s="26" t="n">
        <x:f>$C$5</x:f>
        <x:v>0.0136</x:v>
      </x:c>
      <x:c r="E19" s="26" t="n">
        <x:f>C19/D19</x:f>
        <x:v>0.20000000000000004</x:v>
      </x:c>
      <x:c r="F19" s="26" t="str">
        <x:f>IF(C19&lt;D19,"CHEAP PATH","EXPENSIVE PATH")</x:f>
        <x:v>CHEAP PATH</x:v>
      </x:c>
    </x:row>
    <x:row r="20">
      <x:c r="A20" t="n">
        <x:v>2</x:v>
      </x:c>
      <x:c r="B20" t="n">
        <x:v>1</x:v>
      </x:c>
      <x:c r="C20" s="26" t="n">
        <x:f>A20*$B$5+B20*$B$8</x:f>
        <x:v>0.01272</x:v>
      </x:c>
      <x:c r="D20" s="26" t="n">
        <x:f>$C$5</x:f>
        <x:v>0.0136</x:v>
      </x:c>
      <x:c r="E20" s="26" t="n">
        <x:f>C20/D20</x:f>
        <x:v>0.9352941176470589</x:v>
      </x:c>
      <x:c r="F20" s="26" t="str">
        <x:f>IF(C20&lt;D20,"CHEAP PATH","EXPENSIVE PATH")</x:f>
        <x:v>CHEAP PATH</x:v>
      </x:c>
    </x:row>
    <x:row r="21">
      <x:c r="A21" t="n">
        <x:v>2</x:v>
      </x:c>
      <x:c r="B21" t="n">
        <x:v>2</x:v>
      </x:c>
      <x:c r="C21" s="26" t="n">
        <x:f>A21*$B$5+B21*$B$8</x:f>
        <x:v>0.02272</x:v>
      </x:c>
      <x:c r="D21" s="26" t="n">
        <x:f>$C$5</x:f>
        <x:v>0.0136</x:v>
      </x:c>
      <x:c r="E21" s="26" t="n">
        <x:f>C21/D21</x:f>
        <x:v>1.6705882352941177</x:v>
      </x:c>
      <x:c r="F21" s="26" t="str">
        <x:f>IF(C21&lt;D21,"CHEAP PATH","EXPENSIVE PATH")</x:f>
        <x:v>EXPENSIVE PATH</x:v>
      </x:c>
    </x:row>
    <x:row r="22">
      <x:c r="A22" t="n">
        <x:v>2</x:v>
      </x:c>
      <x:c r="B22" t="n">
        <x:v>5</x:v>
      </x:c>
      <x:c r="C22" s="26" t="n">
        <x:f>A22*$B$5+B22*$B$8</x:f>
        <x:v>0.05272</x:v>
      </x:c>
      <x:c r="D22" s="26" t="n">
        <x:f>$C$5</x:f>
        <x:v>0.0136</x:v>
      </x:c>
      <x:c r="E22" s="26" t="n">
        <x:f>C22/D22</x:f>
        <x:v>3.8764705882352946</x:v>
      </x:c>
      <x:c r="F22" s="26" t="str">
        <x:f>IF(C22&lt;D22,"CHEAP PATH","EXPENSIVE PATH")</x:f>
        <x:v>EXPENSIVE PATH</x:v>
      </x:c>
    </x:row>
    <x:row r="23">
      <x:c r="A23" t="n">
        <x:v>2</x:v>
      </x:c>
      <x:c r="B23" t="n">
        <x:v>10</x:v>
      </x:c>
      <x:c r="C23" s="26" t="n">
        <x:f>A23*$B$5+B23*$B$8</x:f>
        <x:v>0.10272</x:v>
      </x:c>
      <x:c r="D23" s="26" t="n">
        <x:f>$C$5</x:f>
        <x:v>0.0136</x:v>
      </x:c>
      <x:c r="E23" s="26" t="n">
        <x:f>C23/D23</x:f>
        <x:v>7.552941176470589</x:v>
      </x:c>
      <x:c r="F23" s="26" t="str">
        <x:f>IF(C23&lt;D23,"CHEAP PATH","EXPENSIVE PATH")</x:f>
        <x:v>EXPENSIVE PATH</x:v>
      </x:c>
    </x:row>
    <x:row r="24">
      <x:c r="A24" t="n">
        <x:v>5</x:v>
      </x:c>
      <x:c r="B24" t="n">
        <x:v>0</x:v>
      </x:c>
      <x:c r="C24" s="26" t="n">
        <x:f>A24*$B$5+B24*$B$8</x:f>
        <x:v>0.0068000000000000005</x:v>
      </x:c>
      <x:c r="D24" s="26" t="n">
        <x:f>$C$5</x:f>
        <x:v>0.0136</x:v>
      </x:c>
      <x:c r="E24" s="26" t="n">
        <x:f>C24/D24</x:f>
        <x:v>0.5000000000000001</x:v>
      </x:c>
      <x:c r="F24" s="26" t="str">
        <x:f>IF(C24&lt;D24,"CHEAP PATH","EXPENSIVE PATH")</x:f>
        <x:v>CHEAP PATH</x:v>
      </x:c>
    </x:row>
    <x:row r="25">
      <x:c r="A25" t="n">
        <x:v>5</x:v>
      </x:c>
      <x:c r="B25" t="n">
        <x:v>1</x:v>
      </x:c>
      <x:c r="C25" s="26" t="n">
        <x:f>A25*$B$5+B25*$B$8</x:f>
        <x:v>0.016800000000000002</x:v>
      </x:c>
      <x:c r="D25" s="26" t="n">
        <x:f>$C$5</x:f>
        <x:v>0.0136</x:v>
      </x:c>
      <x:c r="E25" s="26" t="n">
        <x:f>C25/D25</x:f>
        <x:v>1.235294117647059</x:v>
      </x:c>
      <x:c r="F25" s="26" t="str">
        <x:f>IF(C25&lt;D25,"CHEAP PATH","EXPENSIVE PATH")</x:f>
        <x:v>EXPENSIVE PATH</x:v>
      </x:c>
    </x:row>
    <x:row r="26">
      <x:c r="A26" t="n">
        <x:v>5</x:v>
      </x:c>
      <x:c r="B26" t="n">
        <x:v>2</x:v>
      </x:c>
      <x:c r="C26" s="26" t="n">
        <x:f>A26*$B$5+B26*$B$8</x:f>
        <x:v>0.0268</x:v>
      </x:c>
      <x:c r="D26" s="26" t="n">
        <x:f>$C$5</x:f>
        <x:v>0.0136</x:v>
      </x:c>
      <x:c r="E26" s="26" t="n">
        <x:f>C26/D26</x:f>
        <x:v>1.9705882352941178</x:v>
      </x:c>
      <x:c r="F26" s="26" t="str">
        <x:f>IF(C26&lt;D26,"CHEAP PATH","EXPENSIVE PATH")</x:f>
        <x:v>EXPENSIVE PATH</x:v>
      </x:c>
    </x:row>
    <x:row r="27">
      <x:c r="A27" t="n">
        <x:v>5</x:v>
      </x:c>
      <x:c r="B27" t="n">
        <x:v>5</x:v>
      </x:c>
      <x:c r="C27" s="26" t="n">
        <x:f>A27*$B$5+B27*$B$8</x:f>
        <x:v>0.0568</x:v>
      </x:c>
      <x:c r="D27" s="26" t="n">
        <x:f>$C$5</x:f>
        <x:v>0.0136</x:v>
      </x:c>
      <x:c r="E27" s="26" t="n">
        <x:f>C27/D27</x:f>
        <x:v>4.176470588235294</x:v>
      </x:c>
      <x:c r="F27" s="26" t="str">
        <x:f>IF(C27&lt;D27,"CHEAP PATH","EXPENSIVE PATH")</x:f>
        <x:v>EXPENSIVE PATH</x:v>
      </x:c>
    </x:row>
    <x:row r="28">
      <x:c r="A28" t="n">
        <x:v>5</x:v>
      </x:c>
      <x:c r="B28" t="n">
        <x:v>10</x:v>
      </x:c>
      <x:c r="C28" s="26" t="n">
        <x:f>A28*$B$5+B28*$B$8</x:f>
        <x:v>0.1068</x:v>
      </x:c>
      <x:c r="D28" s="26" t="n">
        <x:f>$C$5</x:f>
        <x:v>0.0136</x:v>
      </x:c>
      <x:c r="E28" s="26" t="n">
        <x:f>C28/D28</x:f>
        <x:v>7.852941176470589</x:v>
      </x:c>
      <x:c r="F28" s="26" t="str">
        <x:f>IF(C28&lt;D28,"CHEAP PATH","EXPENSIVE PATH")</x:f>
        <x:v>EXPENSIVE PATH</x:v>
      </x:c>
    </x:row>
    <x:row r="29">
      <x:c r="A29" t="n">
        <x:v>10</x:v>
      </x:c>
      <x:c r="B29" t="n">
        <x:v>0</x:v>
      </x:c>
      <x:c r="C29" s="26" t="n">
        <x:f>A29*$B$5+B29*$B$8</x:f>
        <x:v>0.013600000000000001</x:v>
      </x:c>
      <x:c r="D29" s="26" t="n">
        <x:f>$C$5</x:f>
        <x:v>0.0136</x:v>
      </x:c>
      <x:c r="E29" s="26" t="n">
        <x:f>C29/D29</x:f>
        <x:v>1.0000000000000002</x:v>
      </x:c>
      <x:c r="F29" s="26" t="str">
        <x:f>IF(C29&lt;D29,"CHEAP PATH","EXPENSIVE PATH")</x:f>
        <x:v>EXPENSIVE PATH</x:v>
      </x:c>
    </x:row>
    <x:row r="30">
      <x:c r="A30" t="n">
        <x:v>10</x:v>
      </x:c>
      <x:c r="B30" t="n">
        <x:v>1</x:v>
      </x:c>
      <x:c r="C30" s="26" t="n">
        <x:f>A30*$B$5+B30*$B$8</x:f>
        <x:v>0.023600000000000003</x:v>
      </x:c>
      <x:c r="D30" s="26" t="n">
        <x:f>$C$5</x:f>
        <x:v>0.0136</x:v>
      </x:c>
      <x:c r="E30" s="26" t="n">
        <x:f>C30/D30</x:f>
        <x:v>1.735294117647059</x:v>
      </x:c>
      <x:c r="F30" s="26" t="str">
        <x:f>IF(C30&lt;D30,"CHEAP PATH","EXPENSIVE PATH")</x:f>
        <x:v>EXPENSIVE PATH</x:v>
      </x:c>
    </x:row>
    <x:row r="31">
      <x:c r="A31" t="n">
        <x:v>10</x:v>
      </x:c>
      <x:c r="B31" t="n">
        <x:v>2</x:v>
      </x:c>
      <x:c r="C31" s="26" t="n">
        <x:f>A31*$B$5+B31*$B$8</x:f>
        <x:v>0.033600000000000005</x:v>
      </x:c>
      <x:c r="D31" s="26" t="n">
        <x:f>$C$5</x:f>
        <x:v>0.0136</x:v>
      </x:c>
      <x:c r="E31" s="26" t="n">
        <x:f>C31/D31</x:f>
        <x:v>2.470588235294118</x:v>
      </x:c>
      <x:c r="F31" s="26" t="str">
        <x:f>IF(C31&lt;D31,"CHEAP PATH","EXPENSIVE PATH")</x:f>
        <x:v>EXPENSIVE PATH</x:v>
      </x:c>
    </x:row>
    <x:row r="32">
      <x:c r="A32" t="n">
        <x:v>10</x:v>
      </x:c>
      <x:c r="B32" t="n">
        <x:v>5</x:v>
      </x:c>
      <x:c r="C32" s="26" t="n">
        <x:f>A32*$B$5+B32*$B$8</x:f>
        <x:v>0.0636</x:v>
      </x:c>
      <x:c r="D32" s="26" t="n">
        <x:f>$C$5</x:f>
        <x:v>0.0136</x:v>
      </x:c>
      <x:c r="E32" s="26" t="n">
        <x:f>C32/D32</x:f>
        <x:v>4.676470588235294</x:v>
      </x:c>
      <x:c r="F32" s="26" t="str">
        <x:f>IF(C32&lt;D32,"CHEAP PATH","EXPENSIVE PATH")</x:f>
        <x:v>EXPENSIVE PATH</x:v>
      </x:c>
    </x:row>
    <x:row r="33">
      <x:c r="A33" t="n">
        <x:v>10</x:v>
      </x:c>
      <x:c r="B33" t="n">
        <x:v>10</x:v>
      </x:c>
      <x:c r="C33" s="26" t="n">
        <x:f>A33*$B$5+B33*$B$8</x:f>
        <x:v>0.1136</x:v>
      </x:c>
      <x:c r="D33" s="26" t="n">
        <x:f>$C$5</x:f>
        <x:v>0.0136</x:v>
      </x:c>
      <x:c r="E33" s="26" t="n">
        <x:f>C33/D33</x:f>
        <x:v>8.352941176470589</x:v>
      </x:c>
      <x:c r="F33" s="26" t="str">
        <x:f>IF(C33&lt;D33,"CHEAP PATH","EXPENSIVE PATH")</x:f>
        <x:v>EXPENSIVE PATH</x:v>
      </x:c>
    </x:row>
    <x:row r="34">
      <x:c r="A34" t="n">
        <x:v>15</x:v>
      </x:c>
      <x:c r="B34" t="n">
        <x:v>0</x:v>
      </x:c>
      <x:c r="C34" s="26" t="n">
        <x:f>A34*$B$5+B34*$B$8</x:f>
        <x:v>0.0204</x:v>
      </x:c>
      <x:c r="D34" s="26" t="n">
        <x:f>$C$5</x:f>
        <x:v>0.0136</x:v>
      </x:c>
      <x:c r="E34" s="26" t="n">
        <x:f>C34/D34</x:f>
        <x:v>1.5000000000000002</x:v>
      </x:c>
      <x:c r="F34" s="26" t="str">
        <x:f>IF(C34&lt;D34,"CHEAP PATH","EXPENSIVE PATH")</x:f>
        <x:v>EXPENSIVE PATH</x:v>
      </x:c>
    </x:row>
    <x:row r="35">
      <x:c r="A35" t="n">
        <x:v>15</x:v>
      </x:c>
      <x:c r="B35" t="n">
        <x:v>1</x:v>
      </x:c>
      <x:c r="C35" s="26" t="n">
        <x:f>A35*$B$5+B35*$B$8</x:f>
        <x:v>0.030400000000000003</x:v>
      </x:c>
      <x:c r="D35" s="26" t="n">
        <x:f>$C$5</x:f>
        <x:v>0.0136</x:v>
      </x:c>
      <x:c r="E35" s="26" t="n">
        <x:f>C35/D35</x:f>
        <x:v>2.2352941176470593</x:v>
      </x:c>
      <x:c r="F35" s="26" t="str">
        <x:f>IF(C35&lt;D35,"CHEAP PATH","EXPENSIVE PATH")</x:f>
        <x:v>EXPENSIVE PATH</x:v>
      </x:c>
    </x:row>
    <x:row r="36">
      <x:c r="A36" t="n">
        <x:v>15</x:v>
      </x:c>
      <x:c r="B36" t="n">
        <x:v>2</x:v>
      </x:c>
      <x:c r="C36" s="26" t="n">
        <x:f>A36*$B$5+B36*$B$8</x:f>
        <x:v>0.040400000000000005</x:v>
      </x:c>
      <x:c r="D36" s="26" t="n">
        <x:f>$C$5</x:f>
        <x:v>0.0136</x:v>
      </x:c>
      <x:c r="E36" s="26" t="n">
        <x:f>C36/D36</x:f>
        <x:v>2.970588235294118</x:v>
      </x:c>
      <x:c r="F36" s="26" t="str">
        <x:f>IF(C36&lt;D36,"CHEAP PATH","EXPENSIVE PATH")</x:f>
        <x:v>EXPENSIVE PATH</x:v>
      </x:c>
    </x:row>
    <x:row r="37">
      <x:c r="A37" t="n">
        <x:v>15</x:v>
      </x:c>
      <x:c r="B37" t="n">
        <x:v>5</x:v>
      </x:c>
      <x:c r="C37" s="26" t="n">
        <x:f>A37*$B$5+B37*$B$8</x:f>
        <x:v>0.0704</x:v>
      </x:c>
      <x:c r="D37" s="26" t="n">
        <x:f>$C$5</x:f>
        <x:v>0.0136</x:v>
      </x:c>
      <x:c r="E37" s="26" t="n">
        <x:f>C37/D37</x:f>
        <x:v>5.176470588235294</x:v>
      </x:c>
      <x:c r="F37" s="26" t="str">
        <x:f>IF(C37&lt;D37,"CHEAP PATH","EXPENSIVE PATH")</x:f>
        <x:v>EXPENSIVE PATH</x:v>
      </x:c>
    </x:row>
    <x:row r="38">
      <x:c r="A38" t="n">
        <x:v>15</x:v>
      </x:c>
      <x:c r="B38" t="n">
        <x:v>10</x:v>
      </x:c>
      <x:c r="C38" s="26" t="n">
        <x:f>A38*$B$5+B38*$B$8</x:f>
        <x:v>0.12040000000000001</x:v>
      </x:c>
      <x:c r="D38" s="26" t="n">
        <x:f>$C$5</x:f>
        <x:v>0.0136</x:v>
      </x:c>
      <x:c r="E38" s="26" t="n">
        <x:f>C38/D38</x:f>
        <x:v>8.852941176470589</x:v>
      </x:c>
      <x:c r="F38" s="26" t="str">
        <x:f>IF(C38&lt;D38,"CHEAP PATH","EXPENSIVE PATH")</x:f>
        <x:v>EXPENSIVE PATH</x:v>
      </x:c>
    </x:row>
    <x:row r="39">
      <x:c r="A39" t="n">
        <x:v>20</x:v>
      </x:c>
      <x:c r="B39" t="n">
        <x:v>0</x:v>
      </x:c>
      <x:c r="C39" s="26" t="n">
        <x:f>A39*$B$5+B39*$B$8</x:f>
        <x:v>0.027200000000000002</x:v>
      </x:c>
      <x:c r="D39" s="26" t="n">
        <x:f>$C$5</x:f>
        <x:v>0.0136</x:v>
      </x:c>
      <x:c r="E39" s="26" t="n">
        <x:f>C39/D39</x:f>
        <x:v>2.0000000000000004</x:v>
      </x:c>
      <x:c r="F39" s="26" t="str">
        <x:f>IF(C39&lt;D39,"CHEAP PATH","EXPENSIVE PATH")</x:f>
        <x:v>EXPENSIVE PATH</x:v>
      </x:c>
    </x:row>
    <x:row r="40">
      <x:c r="A40" t="n">
        <x:v>20</x:v>
      </x:c>
      <x:c r="B40" t="n">
        <x:v>1</x:v>
      </x:c>
      <x:c r="C40" s="26" t="n">
        <x:f>A40*$B$5+B40*$B$8</x:f>
        <x:v>0.037200000000000004</x:v>
      </x:c>
      <x:c r="D40" s="26" t="n">
        <x:f>$C$5</x:f>
        <x:v>0.0136</x:v>
      </x:c>
      <x:c r="E40" s="26" t="n">
        <x:f>C40/D40</x:f>
        <x:v>2.7352941176470593</x:v>
      </x:c>
      <x:c r="F40" s="26" t="str">
        <x:f>IF(C40&lt;D40,"CHEAP PATH","EXPENSIVE PATH")</x:f>
        <x:v>EXPENSIVE PATH</x:v>
      </x:c>
    </x:row>
    <x:row r="41">
      <x:c r="A41" t="n">
        <x:v>20</x:v>
      </x:c>
      <x:c r="B41" t="n">
        <x:v>2</x:v>
      </x:c>
      <x:c r="C41" s="26" t="n">
        <x:f>A41*$B$5+B41*$B$8</x:f>
        <x:v>0.047200000000000006</x:v>
      </x:c>
      <x:c r="D41" s="26" t="n">
        <x:f>$C$5</x:f>
        <x:v>0.0136</x:v>
      </x:c>
      <x:c r="E41" s="26" t="n">
        <x:f>C41/D41</x:f>
        <x:v>3.470588235294118</x:v>
      </x:c>
      <x:c r="F41" s="26" t="str">
        <x:f>IF(C41&lt;D41,"CHEAP PATH","EXPENSIVE PATH")</x:f>
        <x:v>EXPENSIVE PATH</x:v>
      </x:c>
    </x:row>
    <x:row r="42">
      <x:c r="A42" t="n">
        <x:v>20</x:v>
      </x:c>
      <x:c r="B42" t="n">
        <x:v>5</x:v>
      </x:c>
      <x:c r="C42" s="26" t="n">
        <x:f>A42*$B$5+B42*$B$8</x:f>
        <x:v>0.0772</x:v>
      </x:c>
      <x:c r="D42" s="26" t="n">
        <x:f>$C$5</x:f>
        <x:v>0.0136</x:v>
      </x:c>
      <x:c r="E42" s="26" t="n">
        <x:f>C42/D42</x:f>
        <x:v>5.676470588235294</x:v>
      </x:c>
      <x:c r="F42" s="26" t="str">
        <x:f>IF(C42&lt;D42,"CHEAP PATH","EXPENSIVE PATH")</x:f>
        <x:v>EXPENSIVE PATH</x:v>
      </x:c>
    </x:row>
    <x:row r="43">
      <x:c r="A43" t="n">
        <x:v>20</x:v>
      </x:c>
      <x:c r="B43" t="n">
        <x:v>10</x:v>
      </x:c>
      <x:c r="C43" s="26" t="n">
        <x:f>A43*$B$5+B43*$B$8</x:f>
        <x:v>0.1272</x:v>
      </x:c>
      <x:c r="D43" s="26" t="n">
        <x:f>$C$5</x:f>
        <x:v>0.0136</x:v>
      </x:c>
      <x:c r="E43" s="26" t="n">
        <x:f>C43/D43</x:f>
        <x:v>9.352941176470589</x:v>
      </x:c>
      <x:c r="F43" s="26" t="str">
        <x:f>IF(C43&lt;D43,"CHEAP PATH","EXPENSIVE PATH")</x:f>
        <x:v>EXPENSIVE PATH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>
      <x:c r="A1" s="10" t="str">
        <x:v>request_id</x:v>
      </x:c>
      <x:c r="B1" s="10" t="str">
        <x:v>requests_per_day</x:v>
      </x:c>
      <x:c r="C1" s="10" t="str">
        <x:v>external_peak_rps</x:v>
      </x:c>
      <x:c r="D1" s="10" t="str">
        <x:v>architecture</x:v>
      </x:c>
      <x:c r="E1" s="10" t="str">
        <x:v>model_mix</x:v>
      </x:c>
      <x:c r="F1" s="10" t="str">
        <x:v>avg_input_tokens_per_model_call</x:v>
      </x:c>
      <x:c r="G1" s="10" t="str">
        <x:v>avg_output_tokens_per_model_call</x:v>
      </x:c>
      <x:c r="H1" s="10" t="str">
        <x:v>model_calls_per_run</x:v>
      </x:c>
      <x:c r="I1" s="10" t="str">
        <x:v>tool_calls_per_run</x:v>
      </x:c>
      <x:c r="J1" s="10" t="str">
        <x:v>web_searches_per_run</x:v>
      </x:c>
      <x:c r="K1" s="10" t="str">
        <x:v>retrieval_calls_per_run</x:v>
      </x:c>
      <x:c r="L1" s="10" t="str">
        <x:v>specialist_calls_per_run</x:v>
      </x:c>
      <x:c r="M1" s="10" t="str">
        <x:v>verification_calls_per_run</x:v>
      </x:c>
      <x:c r="N1" s="10" t="str">
        <x:v>branching_factor</x:v>
      </x:c>
      <x:c r="O1" s="10" t="str">
        <x:v>branch_activation_probability</x:v>
      </x:c>
      <x:c r="P1" s="10" t="str">
        <x:v>max_depth</x:v>
      </x:c>
      <x:c r="Q1" s="10" t="str">
        <x:v>retry_probability_per_failed_operation</x:v>
      </x:c>
      <x:c r="R1" s="10" t="str">
        <x:v>max_retries</x:v>
      </x:c>
      <x:c r="S1" s="10" t="str">
        <x:v>terminal_run_failure_rate</x:v>
      </x:c>
      <x:c r="T1" s="10" t="str">
        <x:v>fallback_rate</x:v>
      </x:c>
      <x:c r="U1" s="10" t="str">
        <x:v>cache_hit_rate</x:v>
      </x:c>
      <x:c r="V1" s="10" t="str">
        <x:v>p50_model_latency_ms</x:v>
      </x:c>
      <x:c r="W1" s="10" t="str">
        <x:v>p95_model_latency_ms</x:v>
      </x:c>
      <x:c r="X1" s="10" t="str">
        <x:v>p50_tool_latency_ms</x:v>
      </x:c>
      <x:c r="Y1" s="10" t="str">
        <x:v>p95_tool_latency_ms</x:v>
      </x:c>
      <x:c r="Z1" s="10" t="str">
        <x:v>peak_internal_concurrency</x:v>
      </x:c>
      <x:c r="AA1" s="10" t="str">
        <x:v>provider_rpm_limit</x:v>
      </x:c>
      <x:c r="AB1" s="10" t="str">
        <x:v>provider_tpm_limit</x:v>
      </x:c>
      <x:c r="AC1" s="10" t="str">
        <x:v>tool_rps_limit</x:v>
      </x:c>
      <x:c r="AD1" s="10" t="str">
        <x:v>target_p95_latency_ms</x:v>
      </x:c>
      <x:c r="AE1" s="10" t="str">
        <x:v>input_price_per_mtok</x:v>
      </x:c>
      <x:c r="AF1" s="10" t="str">
        <x:v>output_price_per_mtok</x:v>
      </x:c>
      <x:c r="AG1" s="10" t="str">
        <x:v>web_search_price_per_1000</x:v>
      </x:c>
      <x:c r="AH1" s="10" t="str">
        <x:v>file_search_price_per_1000</x:v>
      </x:c>
      <x:c r="AI1" s="10" t="str">
        <x:v>container_cost_per_session</x:v>
      </x:c>
      <x:c r="AJ1" s="10" t="str">
        <x:v>other_tool_cost_per_call</x:v>
      </x:c>
      <x:c r="AK1" s="10" t="str">
        <x:v>notes</x:v>
      </x:c>
    </x:row>
    <x:row r="2">
      <x:c r="A2" s="18" t="str"/>
      <x:c r="B2" s="18" t="str"/>
      <x:c r="C2" s="18" t="str"/>
      <x:c r="D2" s="18" t="str"/>
      <x:c r="E2" s="18" t="str"/>
      <x:c r="F2" s="18" t="str"/>
      <x:c r="G2" s="18" t="str"/>
      <x:c r="H2" s="18" t="str"/>
      <x:c r="I2" s="18" t="str"/>
      <x:c r="J2" s="18" t="str"/>
      <x:c r="K2" s="18" t="str"/>
      <x:c r="L2" s="18" t="str"/>
      <x:c r="M2" s="18" t="str"/>
      <x:c r="N2" s="18" t="str"/>
      <x:c r="O2" s="18" t="str"/>
      <x:c r="P2" s="18" t="str"/>
      <x:c r="Q2" s="18" t="str"/>
      <x:c r="R2" s="18" t="str"/>
      <x:c r="S2" s="18" t="str"/>
      <x:c r="T2" s="18" t="str"/>
      <x:c r="U2" s="18" t="str"/>
      <x:c r="V2" s="18" t="str"/>
      <x:c r="W2" s="18" t="str"/>
      <x:c r="X2" s="18" t="str"/>
      <x:c r="Y2" s="18" t="str"/>
      <x:c r="Z2" s="18" t="str"/>
      <x:c r="AA2" s="18" t="str"/>
      <x:c r="AB2" s="18" t="str"/>
      <x:c r="AC2" s="18" t="str"/>
      <x:c r="AD2" s="18" t="str"/>
      <x:c r="AE2" s="18" t="str"/>
      <x:c r="AF2" s="18" t="str"/>
      <x:c r="AG2" s="18" t="str"/>
      <x:c r="AH2" s="18" t="str"/>
      <x:c r="AI2" s="18" t="str"/>
      <x:c r="AJ2" s="18" t="str"/>
      <x:c r="AK2" s="18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6" hidden="0" customWidth="1"/>
    <x:col min="4" max="4" width="80" hidden="0" customWidth="1"/>
    <x:col min="5" max="5" width="16" hidden="0" customWidth="1"/>
    <x:col min="6" max="6" width="70" hidden="0" customWidth="1"/>
  </x:cols>
  <x:sheetData>
    <x:row r="1">
      <x:c r="A1" s="14" t="str">
        <x:v>ID</x:v>
      </x:c>
      <x:c r="B1" s="14" t="str">
        <x:v>Org</x:v>
      </x:c>
      <x:c r="C1" s="14" t="str">
        <x:v>Document</x:v>
      </x:c>
      <x:c r="D1" s="14" t="str">
        <x:v>URL</x:v>
      </x:c>
      <x:c r="E1" s="14" t="str">
        <x:v>Accessed</x:v>
      </x:c>
      <x:c r="F1" s="14" t="str">
        <x:v>Supports</x:v>
      </x:c>
    </x:row>
    <x:row r="2">
      <x:c r="A2" s="13" t="str">
        <x:v>S01</x:v>
      </x:c>
      <x:c r="B2" s="13" t="str">
        <x:v>OpenAI</x:v>
      </x:c>
      <x:c r="C2" s="13" t="str">
        <x:v>Agents SDK integrations/observability</x:v>
      </x:c>
      <x:c r="D2" s="13" t="str">
        <x:v>https://developers.openai.com/api/docs/guides/agents/integrations-observability</x:v>
      </x:c>
      <x:c r="E2" s="13" t="str">
        <x:v>2026-08-11</x:v>
      </x:c>
      <x:c r="F2" s="13" t="str">
        <x:v>Tracing: workflow, each model call, tool calls, handoffs, guardrails, custom spans.</x:v>
      </x:c>
    </x:row>
    <x:row r="3">
      <x:c r="A3" s="13" t="str">
        <x:v>S02</x:v>
      </x:c>
      <x:c r="B3" s="13" t="str">
        <x:v>OpenAI</x:v>
      </x:c>
      <x:c r="C3" s="13" t="str">
        <x:v>Agents SDK orchestration</x:v>
      </x:c>
      <x:c r="D3" s="13" t="str">
        <x:v>https://developers.openai.com/api/docs/guides/agents/orchestration</x:v>
      </x:c>
      <x:c r="E3" s="13" t="str">
        <x:v>2026-08-11</x:v>
      </x:c>
      <x:c r="F3" s="13" t="str">
        <x:v>Handoffs and manager-style agents-as-tools.</x:v>
      </x:c>
    </x:row>
    <x:row r="4">
      <x:c r="A4" s="13" t="str">
        <x:v>S03</x:v>
      </x:c>
      <x:c r="B4" s="13" t="str">
        <x:v>OpenAI</x:v>
      </x:c>
      <x:c r="C4" s="13" t="str">
        <x:v>API pricing</x:v>
      </x:c>
      <x:c r="D4" s="13" t="str">
        <x:v>https://developers.openai.com/api/docs/pricing</x:v>
      </x:c>
      <x:c r="E4" s="13" t="str">
        <x:v>2026-08-11</x:v>
      </x:c>
      <x:c r="F4" s="13" t="str">
        <x:v>Current GPT-5.6 and tool meters.</x:v>
      </x:c>
    </x:row>
    <x:row r="5">
      <x:c r="A5" s="13" t="str">
        <x:v>S04</x:v>
      </x:c>
      <x:c r="B5" s="13" t="str">
        <x:v>Anthropic</x:v>
      </x:c>
      <x:c r="C5" s="13" t="str">
        <x:v>Claude Platform pricing</x:v>
      </x:c>
      <x:c r="D5" s="13" t="str">
        <x:v>https://platform.claude.com/docs/en/about-claude/pricing</x:v>
      </x:c>
      <x:c r="E5" s="13" t="str">
        <x:v>2026-08-11</x:v>
      </x:c>
      <x:c r="F5" s="13" t="str">
        <x:v>Tool-use token overhead, web search meter, Managed Agents runtime.</x:v>
      </x:c>
    </x:row>
    <x:row r="6">
      <x:c r="A6" s="13" t="str">
        <x:v>S05</x:v>
      </x:c>
      <x:c r="B6" s="13" t="str">
        <x:v>Google Cloud</x:v>
      </x:c>
      <x:c r="C6" s="13" t="str">
        <x:v>Agent Engine pricing update</x:v>
      </x:c>
      <x:c r="D6" s="13" t="str">
        <x:v>https://cloud.google.com/blog/products/ai-machine-learning/new-enhanced-tool-governance-in-vertex-ai-agent-builder</x:v>
      </x:c>
      <x:c r="E6" s="13" t="str">
        <x:v>2026-08-11</x:v>
      </x:c>
      <x:c r="F6" s="13" t="str">
        <x:v>Runtime, code execution, sessions, memory bank separate meters.</x:v>
      </x:c>
    </x:row>
    <x:row r="7">
      <x:c r="A7" s="13" t="str">
        <x:v>S06</x:v>
      </x:c>
      <x:c r="B7" s="13" t="str">
        <x:v>LangGraph</x:v>
      </x:c>
      <x:c r="C7" s="13" t="str">
        <x:v>Multi-agent patterns</x:v>
      </x:c>
      <x:c r="D7" s="13" t="str">
        <x:v>https://langchain-ai.github.io/langgraph/tutorials/multi_agent/multi-agent-collaboration/</x:v>
      </x:c>
      <x:c r="E7" s="13" t="str">
        <x:v>2026-08-11</x:v>
      </x:c>
      <x:c r="F7" s="13" t="str">
        <x:v>Subagents, handoffs, router patterns.</x:v>
      </x:c>
    </x:row>
    <x:row r="8">
      <x:c r="A8" s="13"/>
      <x:c r="B8" s="13"/>
      <x:c r="C8" s="13"/>
      <x:c r="D8" s="13"/>
      <x:c r="E8" s="13"/>
      <x:c r="F8" s="13"/>
    </x:row>
    <x:row r="9">
      <x:c r="A9" s="13"/>
      <x:c r="B9" s="13"/>
      <x:c r="C9" s="13"/>
      <x:c r="D9" s="13"/>
      <x:c r="E9" s="13"/>
      <x:c r="F9" s="13"/>
    </x:row>
    <x:row r="10">
      <x:c r="A10" s="13"/>
      <x:c r="B10" s="13"/>
      <x:c r="C10" s="13"/>
      <x:c r="D10" s="13"/>
      <x:c r="E10" s="13"/>
      <x:c r="F10" s="13"/>
    </x:row>
  </x:sheetData>
  <x:pageMargins left="0.7" right="0.7" top="0.75" bottom="0.75" header="0.3" footer="0.3"/>
</x:worksheet>
</file>