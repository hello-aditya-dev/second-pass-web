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d5528cfd4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4130c3e4d248f6"/>
    <x:sheet xmlns:r="http://schemas.openxmlformats.org/officeDocument/2006/relationships" name="INPUTS" sheetId="2" r:id="Re22e00d011c04dc4"/>
    <x:sheet xmlns:r="http://schemas.openxmlformats.org/officeDocument/2006/relationships" name="DECISION" sheetId="3" r:id="Rc6a6208b86f343e5"/>
    <x:sheet xmlns:r="http://schemas.openxmlformats.org/officeDocument/2006/relationships" name="QUEUE_MMK" sheetId="4" r:id="R72057ed72acf421c"/>
    <x:sheet xmlns:r="http://schemas.openxmlformats.org/officeDocument/2006/relationships" name="QUEUE_VARIANCE" sheetId="5" r:id="R8af57c39a6204958"/>
    <x:sheet xmlns:r="http://schemas.openxmlformats.org/officeDocument/2006/relationships" name="BURST" sheetId="6" r:id="R294eff5cfcd0458e"/>
    <x:sheet xmlns:r="http://schemas.openxmlformats.org/officeDocument/2006/relationships" name="ECONOMICS" sheetId="7" r:id="Re85dd6a75f7d4fc8"/>
    <x:sheet xmlns:r="http://schemas.openxmlformats.org/officeDocument/2006/relationships" name="SCENARIOS" sheetId="8" r:id="R5299ba6b485e4f77"/>
    <x:sheet xmlns:r="http://schemas.openxmlformats.org/officeDocument/2006/relationships" name="SENSITIVITY" sheetId="9" r:id="R3f6e30e2c3fd41d6"/>
    <x:sheet xmlns:r="http://schemas.openxmlformats.org/officeDocument/2006/relationships" name="FAILURE_RESERVE" sheetId="10" r:id="Rcc7ebc0e24ea40c2"/>
    <x:sheet xmlns:r="http://schemas.openxmlformats.org/officeDocument/2006/relationships" name="COLD_START" sheetId="11" r:id="Rc29bc95fc5b04e7a"/>
    <x:sheet xmlns:r="http://schemas.openxmlformats.org/officeDocument/2006/relationships" name="PRICING" sheetId="12" r:id="R669839612e3d46a9"/>
    <x:sheet xmlns:r="http://schemas.openxmlformats.org/officeDocument/2006/relationships" name="SOURCES" sheetId="13" r:id="Rdac6275d40a6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DEDED"/>
      </x:patternFill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e75f8b7844761" /><Relationship Type="http://schemas.openxmlformats.org/officeDocument/2006/relationships/theme" Target="/xl/theme/theme1.xml" Id="Rc70b8df0991e42f7" /><Relationship Type="http://schemas.microsoft.com/office/2022/11/relationships/FeaturePropertyBag" Target="/xl/featurePropertyBag/featurePropertyBag.xml" Id="Rdd2346c97094479b" /><Relationship Type="http://schemas.openxmlformats.org/officeDocument/2006/relationships/sharedStrings" Target="/xl/sharedStrings.xml" Id="Rb9c8ac2530b242b9" /><Relationship Type="http://schemas.openxmlformats.org/officeDocument/2006/relationships/worksheet" Target="/xl/worksheets/sheet1.xml" Id="Rca4130c3e4d248f6" /><Relationship Type="http://schemas.openxmlformats.org/officeDocument/2006/relationships/worksheet" Target="/xl/worksheets/sheet2.xml" Id="Re22e00d011c04dc4" /><Relationship Type="http://schemas.openxmlformats.org/officeDocument/2006/relationships/worksheet" Target="/xl/worksheets/sheet3.xml" Id="Rc6a6208b86f343e5" /><Relationship Type="http://schemas.openxmlformats.org/officeDocument/2006/relationships/worksheet" Target="/xl/worksheets/sheet4.xml" Id="R72057ed72acf421c" /><Relationship Type="http://schemas.openxmlformats.org/officeDocument/2006/relationships/worksheet" Target="/xl/worksheets/sheet5.xml" Id="R8af57c39a6204958" /><Relationship Type="http://schemas.openxmlformats.org/officeDocument/2006/relationships/worksheet" Target="/xl/worksheets/sheet6.xml" Id="R294eff5cfcd0458e" /><Relationship Type="http://schemas.openxmlformats.org/officeDocument/2006/relationships/worksheet" Target="/xl/worksheets/sheet7.xml" Id="Re85dd6a75f7d4fc8" /><Relationship Type="http://schemas.openxmlformats.org/officeDocument/2006/relationships/worksheet" Target="/xl/worksheets/sheet8.xml" Id="R5299ba6b485e4f77" /><Relationship Type="http://schemas.openxmlformats.org/officeDocument/2006/relationships/worksheet" Target="/xl/worksheets/sheet9.xml" Id="R3f6e30e2c3fd41d6" /><Relationship Type="http://schemas.openxmlformats.org/officeDocument/2006/relationships/worksheet" Target="/xl/worksheets/sheet10.xml" Id="Rcc7ebc0e24ea40c2" /><Relationship Type="http://schemas.openxmlformats.org/officeDocument/2006/relationships/worksheet" Target="/xl/worksheets/sheet11.xml" Id="Rc29bc95fc5b04e7a" /><Relationship Type="http://schemas.openxmlformats.org/officeDocument/2006/relationships/worksheet" Target="/xl/worksheets/sheet12.xml" Id="R669839612e3d46a9" /><Relationship Type="http://schemas.openxmlformats.org/officeDocument/2006/relationships/worksheet" Target="/xl/worksheets/sheet13.xml" Id="Rdac6275d40a644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55" hidden="0" customWidth="1"/>
  </x:cols>
  <x:sheetData>
    <x:row r="1" ht="28" customHeight="1">
      <x:c r="A1" s="4" t="str">
        <x:v>SECOND / PASS — Warm Capacity Decision Model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Purpose</x:v>
      </x:c>
      <x:c r="B3" s="11" t="str">
        <x:v>Quantify warm inference capacity using queueing, scale delay, burst, allocation risk, and cost.</x:v>
      </x:c>
    </x:row>
    <x:row r="4">
      <x:c r="A4" s="10" t="str">
        <x:v>Research date</x:v>
      </x:c>
      <x:c r="B4" s="11" t="str">
        <x:v>2026-08-11</x:v>
      </x:c>
    </x:row>
    <x:row r="5">
      <x:c r="A5" s="10" t="str">
        <x:v>Status</x:v>
      </x:c>
      <x:c r="B5" s="11" t="str">
        <x:v>RESEARCH DOSSIER — not final article</x:v>
      </x:c>
    </x:row>
    <x:row r="6">
      <x:c r="A6" s="10" t="str">
        <x:v>Core warning</x:v>
      </x:c>
      <x:c r="B6" s="11" t="str">
        <x:v>No universal warm percentage or utilization threshold.</x:v>
      </x:c>
    </x:row>
    <x:row r="7">
      <x:c r="A7" s="10" t="str">
        <x:v>Queue model</x:v>
      </x:c>
      <x:c r="B7" s="11" t="str">
        <x:v>M/M/k exact teaching model; M/G/1 variance result; multi-server variability uses simulation.</x:v>
      </x:c>
    </x:row>
    <x:row r="8">
      <x:c r="A8" s="10" t="str">
        <x:v>Burst model</x:v>
      </x:c>
      <x:c r="B8" s="11" t="str">
        <x:v>Fluid approximation plus deterministic scenario grid.</x:v>
      </x:c>
    </x:row>
    <x:row r="9">
      <x:c r="A9" s="10" t="str">
        <x:v>Economic model</x:v>
      </x:c>
      <x:c r="B9" s="11" t="str">
        <x:v>Warm holding cost + expected modeled undercapacity loss.</x:v>
      </x:c>
    </x:row>
    <x:row r="10">
      <x:c r="A10" s="10" t="str">
        <x:v>Price note</x:v>
      </x:c>
      <x:c r="B10" s="11" t="str">
        <x:v>$4.720/H100-hour is current AWS Capacity Block Mumbai reference, not universal on-demand pricing.</x:v>
      </x:c>
    </x:row>
    <x:row r="11">
      <x:c r="A11" s="10" t="str">
        <x:v>Unknowns</x:v>
      </x:c>
      <x:c r="B11" s="11" t="str">
        <x:v>Use company traces for scale-delay distribution, service distribution, loss/request, and allocation probability.</x:v>
      </x:c>
    </x:row>
    <x:row r="12">
      <x:c r="A12" s="10" t="str">
        <x:v>Safety</x:v>
      </x:c>
      <x:c r="B12" s="11" t="str">
        <x:v>Workbook never labels a deployment SAFE.</x:v>
      </x:c>
    </x:row>
    <x:row r="13">
      <x:c r="A13" s="10" t="str">
        <x:v>Companion</x:v>
      </x:c>
      <x:c r="B13" s="11" t="str">
        <x:v>See 01_RESEARCH_DOSSIER.md and CSVs for assumptions/provenance.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1299991607666" hidden="0" customWidth="1"/>
    <x:col min="2" max="2" width="4.75" hidden="0" customWidth="1"/>
    <x:col min="3" max="3" width="10.5" hidden="0" customWidth="1"/>
  </x:cols>
  <x:sheetData>
    <x:row r="1" ht="28" customHeight="1">
      <x:c r="A1" s="4" t="str">
        <x:v>Editable Teaching Inputs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Input</x:v>
      </x:c>
      <x:c r="B3" s="20" t="str">
        <x:v>Value</x:v>
      </x:c>
      <x:c r="C3" s="16" t="str">
        <x:v>Unit</x:v>
      </x:c>
    </x:row>
    <x:row r="4">
      <x:c r="A4" s="11" t="str">
        <x:v>Baseline arrival rate λ0</x:v>
      </x:c>
      <x:c r="B4" s="21" t="n">
        <x:v>12</x:v>
      </x:c>
      <x:c r="C4" s="11" t="str">
        <x:v>req/s</x:v>
      </x:c>
    </x:row>
    <x:row r="5">
      <x:c r="A5" s="11" t="str">
        <x:v>Burst arrival rate λ1</x:v>
      </x:c>
      <x:c r="B5" s="21" t="n">
        <x:v>24</x:v>
      </x:c>
      <x:c r="C5" s="11" t="str">
        <x:v>req/s</x:v>
      </x:c>
    </x:row>
    <x:row r="6">
      <x:c r="A6" s="11" t="str">
        <x:v>Effective service rate μ</x:v>
      </x:c>
      <x:c r="B6" s="21" t="n">
        <x:v>2</x:v>
      </x:c>
      <x:c r="C6" s="11" t="str">
        <x:v>req/s/replica</x:v>
      </x:c>
    </x:row>
    <x:row r="7">
      <x:c r="A7" s="11" t="str">
        <x:v>Warm replicas k</x:v>
      </x:c>
      <x:c r="B7" s="21" t="n">
        <x:v>7</x:v>
      </x:c>
      <x:c r="C7" s="11" t="str">
        <x:v>replicas</x:v>
      </x:c>
    </x:row>
    <x:row r="8">
      <x:c r="A8" s="11" t="str">
        <x:v>Queue p95 budget Dq</x:v>
      </x:c>
      <x:c r="B8" s="21" t="n">
        <x:v>3</x:v>
      </x:c>
      <x:c r="C8" s="11" t="str">
        <x:v>s</x:v>
      </x:c>
    </x:row>
    <x:row r="9">
      <x:c r="A9" s="11" t="str">
        <x:v>Scale-up delay</x:v>
      </x:c>
      <x:c r="B9" s="21" t="n">
        <x:v>20</x:v>
      </x:c>
      <x:c r="C9" s="11" t="str">
        <x:v>s</x:v>
      </x:c>
    </x:row>
    <x:row r="10">
      <x:c r="A10" s="11" t="str">
        <x:v>Burst duration</x:v>
      </x:c>
      <x:c r="B10" s="21" t="n">
        <x:v>120</x:v>
      </x:c>
      <x:c r="C10" s="11" t="str">
        <x:v>s</x:v>
      </x:c>
    </x:row>
    <x:row r="11">
      <x:c r="A11" s="11" t="str">
        <x:v>Allocation probability</x:v>
      </x:c>
      <x:c r="B11" s="21" t="n">
        <x:v>0.85</x:v>
      </x:c>
      <x:c r="C11" s="11" t="str">
        <x:v>fraction</x:v>
      </x:c>
    </x:row>
    <x:row r="12">
      <x:c r="A12" s="11" t="str">
        <x:v>Burst probability/hour</x:v>
      </x:c>
      <x:c r="B12" s="21" t="n">
        <x:v>0.3</x:v>
      </x:c>
      <x:c r="C12" s="11" t="str">
        <x:v>fraction/hour</x:v>
      </x:c>
    </x:row>
    <x:row r="13">
      <x:c r="A13" s="11" t="str">
        <x:v>GPU/replica cost</x:v>
      </x:c>
      <x:c r="B13" s="21" t="n">
        <x:v>4.72</x:v>
      </x:c>
      <x:c r="C13" s="11" t="str">
        <x:v>USD/hour</x:v>
      </x:c>
    </x:row>
    <x:row r="14">
      <x:c r="A14" s="11" t="str">
        <x:v>Loss per SLO-violating burst request</x:v>
      </x:c>
      <x:c r="B14" s="21" t="n">
        <x:v>0.05</x:v>
      </x:c>
      <x:c r="C14" s="11" t="str">
        <x:v>USD/request</x:v>
      </x:c>
    </x:row>
    <x:row r="15">
      <x:c r="B15" s="22"/>
    </x:row>
    <x:row r="16">
      <x:c r="B16" s="22"/>
    </x:row>
    <x:row r="17">
      <x:c r="B17" s="22"/>
    </x:row>
    <x:row r="18">
      <x:c r="B18" s="22"/>
    </x:row>
    <x:row r="19">
      <x:c r="B19" s="22"/>
    </x:row>
    <x:row r="20">
      <x:c r="B20" s="2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75" hidden="0" customWidth="1"/>
    <x:col min="2" max="2" width="13.380000114440918" hidden="0" customWidth="1"/>
    <x:col min="3" max="3" width="8" hidden="0" customWidth="1"/>
    <x:col min="4" max="4" width="45" hidden="0" customWidth="1"/>
  </x:cols>
  <x:sheetData>
    <x:row r="1" ht="28" customHeight="1">
      <x:c r="A1" s="4" t="str">
        <x:v>Derived Decision Quantities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Metric</x:v>
      </x:c>
      <x:c r="B3" s="16" t="str">
        <x:v>Value</x:v>
      </x:c>
      <x:c r="C3" s="16" t="str">
        <x:v>Unit</x:v>
      </x:c>
      <x:c r="D3" s="16" t="str">
        <x:v>Interpretation</x:v>
      </x:c>
    </x:row>
    <x:row r="4">
      <x:c r="A4" s="11" t="str">
        <x:v>Warm capacity</x:v>
      </x:c>
      <x:c r="B4" s="11" t="n">
        <x:f>INPUTS!B7*INPUTS!B6</x:f>
        <x:v>14</x:v>
      </x:c>
      <x:c r="C4" s="11" t="str">
        <x:v>req/s</x:v>
      </x:c>
      <x:c r="D4" s="11" t="str">
        <x:v>k × μ</x:v>
      </x:c>
    </x:row>
    <x:row r="5">
      <x:c r="A5" s="11" t="str">
        <x:v>Baseline utilization</x:v>
      </x:c>
      <x:c r="B5" s="11" t="n">
        <x:f>INPUTS!B4/B4</x:f>
        <x:v>0.8571428571428571</x:v>
      </x:c>
      <x:c r="C5" s="11" t="str">
        <x:v>fraction</x:v>
      </x:c>
      <x:c r="D5" s="11" t="str">
        <x:v>λ0 / Cwarm</x:v>
      </x:c>
    </x:row>
    <x:row r="6">
      <x:c r="A6" s="11" t="str">
        <x:v>Backlog at scale delay</x:v>
      </x:c>
      <x:c r="B6" s="11" t="n">
        <x:f>MAX(0,(INPUTS!B5-B4)*MIN(INPUTS!B9,INPUTS!B10))</x:f>
        <x:v>200</x:v>
      </x:c>
      <x:c r="C6" s="11" t="str">
        <x:v>requests</x:v>
      </x:c>
      <x:c r="D6" s="11" t="str">
        <x:v>Fluid approximation</x:v>
      </x:c>
    </x:row>
    <x:row r="7">
      <x:c r="A7" s="11" t="str">
        <x:v>Allowable backlog</x:v>
      </x:c>
      <x:c r="B7" s="11" t="n">
        <x:f>B4*INPUTS!B8</x:f>
        <x:v>42</x:v>
      </x:c>
      <x:c r="C7" s="11" t="str">
        <x:v>requests</x:v>
      </x:c>
      <x:c r="D7" s="11" t="str">
        <x:v>Cwarm × queue budget</x:v>
      </x:c>
    </x:row>
    <x:row r="8">
      <x:c r="A8" s="11" t="str">
        <x:v>Survivable scale delay</x:v>
      </x:c>
      <x:c r="B8" s="11" t="n">
        <x:f>IF(B4&gt;=INPUTS!B5,1E+99,B7/(INPUTS!B5-B4))</x:f>
        <x:v>4.2</x:v>
      </x:c>
      <x:c r="C8" s="11" t="str">
        <x:v>s</x:v>
      </x:c>
      <x:c r="D8" s="11" t="str">
        <x:v>Max delay before fluid backlog exceeds queue budget</x:v>
      </x:c>
    </x:row>
    <x:row r="9">
      <x:c r="A9" s="11" t="str">
        <x:v>Strict burst-survival lower bound</x:v>
      </x:c>
      <x:c r="B9" s="11" t="n">
        <x:f>ROUNDUP(INPUTS!B5*INPUTS!B9/(INPUTS!B6*(INPUTS!B9+INPUTS!B8)),0)</x:f>
        <x:v>11</x:v>
      </x:c>
      <x:c r="C9" s="11" t="str">
        <x:v>replicas</x:v>
      </x:c>
      <x:c r="D9" s="11" t="str">
        <x:v>Fluid inequality, deterministic delay</x:v>
      </x:c>
    </x:row>
    <x:row r="10">
      <x:c r="A10" s="11" t="str">
        <x:v>Warm holding cost</x:v>
      </x:c>
      <x:c r="B10" s="11" t="n">
        <x:f>INPUTS!B7*INPUTS!B13</x:f>
        <x:v>33.04</x:v>
      </x:c>
      <x:c r="C10" s="11" t="str">
        <x:v>USD/hour</x:v>
      </x:c>
      <x:c r="D10" s="11" t="str">
        <x:v>Warm replicas × hourly cost</x:v>
      </x:c>
    </x:row>
    <x:row r="11">
      <x:c r="A11" s="11" t="str">
        <x:v>Reserved capacity note</x:v>
      </x:c>
      <x:c r="B11" s="11" t="str">
        <x:v>Reserved ≠ warm</x:v>
      </x:c>
      <x:c r="C11" s="11" t="str">
        <x:v>text</x:v>
      </x:c>
      <x:c r="D11" s="11" t="str">
        <x:v>Reservation can assure hardware without ready runtime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75" hidden="0" customWidth="1"/>
    <x:col min="2" max="2" width="5.880000114440918" hidden="0" customWidth="1"/>
    <x:col min="3" max="3" width="2.380000114440918" hidden="0" customWidth="1"/>
    <x:col min="4" max="4" width="11.880000114440918" hidden="0" customWidth="1"/>
    <x:col min="5" max="5" width="10.25" hidden="0" customWidth="1"/>
    <x:col min="6" max="6" width="11.380000114440918" hidden="0" customWidth="1"/>
    <x:col min="7" max="7" width="10.25" hidden="0" customWidth="1"/>
  </x:cols>
  <x:sheetData>
    <x:row r="1" ht="28" customHeight="1">
      <x:c r="A1" s="4" t="str">
        <x:v>M/M/k Queue Sensitivity — Teaching Model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ρ</x:v>
      </x:c>
      <x:c r="B3" s="16" t="str">
        <x:v>λ req/s</x:v>
      </x:c>
      <x:c r="C3" s="16" t="str">
        <x:v>k</x:v>
      </x:c>
      <x:c r="D3" s="16" t="str">
        <x:v>μ req/s/replica</x:v>
      </x:c>
      <x:c r="E3" s="16" t="str">
        <x:v>P(wait)</x:v>
      </x:c>
      <x:c r="F3" s="16" t="str">
        <x:v>Mean queue s</x:v>
      </x:c>
      <x:c r="G3" s="16" t="str">
        <x:v>p95 queue s</x:v>
      </x:c>
    </x:row>
    <x:row r="4">
      <x:c r="A4" s="26" t="n">
        <x:v>0.5</x:v>
      </x:c>
      <x:c r="B4" s="26" t="n">
        <x:v>10</x:v>
      </x:c>
      <x:c r="C4" s="26" t="n">
        <x:v>10</x:v>
      </x:c>
      <x:c r="D4" s="26" t="n">
        <x:v>2</x:v>
      </x:c>
      <x:c r="E4" s="26" t="n">
        <x:v>0.03610535915832019</x:v>
      </x:c>
      <x:c r="F4" s="26" t="n">
        <x:v>0.0036105359158320185</x:v>
      </x:c>
      <x:c r="G4" s="26" t="n">
        <x:v>0</x:v>
      </x:c>
    </x:row>
    <x:row r="5">
      <x:c r="A5" s="26" t="n">
        <x:v>0.51</x:v>
      </x:c>
      <x:c r="B5" s="26" t="n">
        <x:v>10.2</x:v>
      </x:c>
      <x:c r="C5" s="26" t="n">
        <x:v>10</x:v>
      </x:c>
      <x:c r="D5" s="26" t="n">
        <x:v>2</x:v>
      </x:c>
      <x:c r="E5" s="26" t="n">
        <x:v>0.040605190791939645</x:v>
      </x:c>
      <x:c r="F5" s="26" t="n">
        <x:v>0.004143386815504045</x:v>
      </x:c>
      <x:c r="G5" s="26" t="n">
        <x:v>0</x:v>
      </x:c>
    </x:row>
    <x:row r="6">
      <x:c r="A6" s="26" t="n">
        <x:v>0.52</x:v>
      </x:c>
      <x:c r="B6" s="26" t="n">
        <x:v>10.4</x:v>
      </x:c>
      <x:c r="C6" s="26" t="n">
        <x:v>10</x:v>
      </x:c>
      <x:c r="D6" s="26" t="n">
        <x:v>2</x:v>
      </x:c>
      <x:c r="E6" s="26" t="n">
        <x:v>0.0455043909761931</x:v>
      </x:c>
      <x:c r="F6" s="26" t="n">
        <x:v>0.004740040726686781</x:v>
      </x:c>
      <x:c r="G6" s="26" t="n">
        <x:v>0</x:v>
      </x:c>
    </x:row>
    <x:row r="7">
      <x:c r="A7" s="26" t="n">
        <x:v>0.53</x:v>
      </x:c>
      <x:c r="B7" s="26" t="n">
        <x:v>10.600000000000001</x:v>
      </x:c>
      <x:c r="C7" s="26" t="n">
        <x:v>10</x:v>
      </x:c>
      <x:c r="D7" s="26" t="n">
        <x:v>2</x:v>
      </x:c>
      <x:c r="E7" s="26" t="n">
        <x:v>0.05082207154078017</x:v>
      </x:c>
      <x:c r="F7" s="26" t="n">
        <x:v>0.005406603355402146</x:v>
      </x:c>
      <x:c r="G7" s="26" t="n">
        <x:v>0.0017348653134861562</x:v>
      </x:c>
    </x:row>
    <x:row r="8">
      <x:c r="A8" s="26" t="n">
        <x:v>0.54</x:v>
      </x:c>
      <x:c r="B8" s="26" t="n">
        <x:v>10.8</x:v>
      </x:c>
      <x:c r="C8" s="26" t="n">
        <x:v>10</x:v>
      </x:c>
      <x:c r="D8" s="26" t="n">
        <x:v>2</x:v>
      </x:c>
      <x:c r="E8" s="26" t="n">
        <x:v>0.05657708130599353</x:v>
      </x:c>
      <x:c r="F8" s="26" t="n">
        <x:v>0.006149682750651472</x:v>
      </x:c>
      <x:c r="G8" s="26" t="n">
        <x:v>0.013432714549433204</x:v>
      </x:c>
    </x:row>
    <x:row r="9">
      <x:c r="A9" s="26" t="n">
        <x:v>0.55</x:v>
      </x:c>
      <x:c r="B9" s="26" t="n">
        <x:v>11</x:v>
      </x:c>
      <x:c r="C9" s="26" t="n">
        <x:v>10</x:v>
      </x:c>
      <x:c r="D9" s="26" t="n">
        <x:v>2</x:v>
      </x:c>
      <x:c r="E9" s="26" t="n">
        <x:v>0.0627879463496245</x:v>
      </x:c>
      <x:c r="F9" s="26" t="n">
        <x:v>0.0069764384832916105</x:v>
      </x:c>
      <x:c r="G9" s="26" t="n">
        <x:v>0.025304456946203528</x:v>
      </x:c>
    </x:row>
    <x:row r="10">
      <x:c r="A10" s="26" t="n">
        <x:v>0.56</x:v>
      </x:c>
      <x:c r="B10" s="26" t="n">
        <x:v>11.200000000000001</x:v>
      </x:c>
      <x:c r="C10" s="26" t="n">
        <x:v>10</x:v>
      </x:c>
      <x:c r="D10" s="26" t="n">
        <x:v>2</x:v>
      </x:c>
      <x:c r="E10" s="26" t="n">
        <x:v>0.06947281419677802</x:v>
      </x:c>
      <x:c r="F10" s="26" t="n">
        <x:v>0.007894637976906593</x:v>
      </x:c>
      <x:c r="G10" s="26" t="n">
        <x:v>0.037376421361619526</x:v>
      </x:c>
    </x:row>
    <x:row r="11">
      <x:c r="A11" s="26" t="n">
        <x:v>0.5700000000000001</x:v>
      </x:c>
      <x:c r="B11" s="26" t="n">
        <x:v>11.400000000000002</x:v>
      </x:c>
      <x:c r="C11" s="26" t="n">
        <x:v>10</x:v>
      </x:c>
      <x:c r="D11" s="26" t="n">
        <x:v>2</x:v>
      </x:c>
      <x:c r="E11" s="26" t="n">
        <x:v>0.07664940215347263</x:v>
      </x:c>
      <x:c r="F11" s="26" t="n">
        <x:v>0.008912721180636355</x:v>
      </x:c>
      <x:c r="G11" s="26" t="n">
        <x:v>0.0496766046704058</x:v>
      </x:c>
    </x:row>
    <x:row r="12">
      <x:c r="A12" s="26" t="n">
        <x:v>0.5800000000000001</x:v>
      </x:c>
      <x:c r="B12" s="26" t="n">
        <x:v>11.600000000000001</x:v>
      </x:c>
      <x:c r="C12" s="26" t="n">
        <x:v>10</x:v>
      </x:c>
      <x:c r="D12" s="26" t="n">
        <x:v>2</x:v>
      </x:c>
      <x:c r="E12" s="26" t="n">
        <x:v>0.08433494994288886</x:v>
      </x:c>
      <x:c r="F12" s="26" t="n">
        <x:v>0.010039874993201057</x:v>
      </x:c>
      <x:c r="G12" s="26" t="n">
        <x:v>0.06223492425366695</x:v>
      </x:c>
    </x:row>
    <x:row r="13">
      <x:c r="A13" s="26" t="n">
        <x:v>0.5900000000000001</x:v>
      </x:c>
      <x:c r="B13" s="26" t="n">
        <x:v>11.8</x:v>
      </x:c>
      <x:c r="C13" s="26" t="n">
        <x:v>10</x:v>
      </x:c>
      <x:c r="D13" s="26" t="n">
        <x:v>2</x:v>
      </x:c>
      <x:c r="E13" s="26" t="n">
        <x:v>0.09254617674508579</x:v>
      </x:c>
      <x:c r="F13" s="26" t="n">
        <x:v>0.011286119115254366</x:v>
      </x:c>
      <x:c r="G13" s="26" t="n">
        <x:v>0.07508350275394227</x:v>
      </x:c>
    </x:row>
    <x:row r="14">
      <x:c r="A14" s="26" t="n">
        <x:v>0.6000000000000001</x:v>
      </x:c>
      <x:c r="B14" s="26" t="n">
        <x:v>12.000000000000002</x:v>
      </x:c>
      <x:c r="C14" s="26" t="n">
        <x:v>10</x:v>
      </x:c>
      <x:c r="D14" s="26" t="n">
        <x:v>2</x:v>
      </x:c>
      <x:c r="E14" s="26" t="n">
        <x:v>0.10129924268741758</x:v>
      </x:c>
      <x:c r="F14" s="26" t="n">
        <x:v>0.0126624053359272</x:v>
      </x:c>
      <x:c r="G14" s="26" t="n">
        <x:v>0.08825699123249046</x:v>
      </x:c>
    </x:row>
    <x:row r="15">
      <x:c r="A15" s="26" t="n">
        <x:v>0.6100000000000001</x:v>
      </x:c>
      <x:c r="B15" s="26" t="n">
        <x:v>12.200000000000003</x:v>
      </x:c>
      <x:c r="C15" s="26" t="n">
        <x:v>10</x:v>
      </x:c>
      <x:c r="D15" s="26" t="n">
        <x:v>2</x:v>
      </x:c>
      <x:c r="E15" s="26" t="n">
        <x:v>0.1106097147840919</x:v>
      </x:c>
      <x:c r="F15" s="26" t="n">
        <x:v>0.014180732664627172</x:v>
      </x:c>
      <x:c r="G15" s="26" t="n">
        <x:v>0.10179293806540468</x:v>
      </x:c>
    </x:row>
    <x:row r="16">
      <x:c r="A16" s="26" t="n">
        <x:v>0.6200000000000001</x:v>
      </x:c>
      <x:c r="B16" s="26" t="n">
        <x:v>12.400000000000002</x:v>
      </x:c>
      <x:c r="C16" s="26" t="n">
        <x:v>10</x:v>
      </x:c>
      <x:c r="D16" s="26" t="n">
        <x:v>2</x:v>
      </x:c>
      <x:c r="E16" s="26" t="n">
        <x:v>0.12049253727952051</x:v>
      </x:c>
      <x:c r="F16" s="26" t="n">
        <x:v>0.015854281220989547</x:v>
      </x:c>
      <x:c r="G16" s="26" t="n">
        <x:v>0.11573221240716518</x:v>
      </x:c>
    </x:row>
    <x:row r="17">
      <x:c r="A17" s="26" t="n">
        <x:v>0.6300000000000001</x:v>
      </x:c>
      <x:c r="B17" s="26" t="n">
        <x:v>12.600000000000001</x:v>
      </x:c>
      <x:c r="C17" s="26" t="n">
        <x:v>10</x:v>
      </x:c>
      <x:c r="D17" s="26" t="n">
        <x:v>2</x:v>
      </x:c>
      <x:c r="E17" s="26" t="n">
        <x:v>0.13096200631140004</x:v>
      </x:c>
      <x:c r="F17" s="26" t="n">
        <x:v>0.017697568420459466</x:v>
      </x:c>
      <x:c r="G17" s="26" t="n">
        <x:v>0.1301194929120883</x:v>
      </x:c>
    </x:row>
    <x:row r="18">
      <x:c r="A18" s="26" t="n">
        <x:v>0.6400000000000001</x:v>
      </x:c>
      <x:c r="B18" s="26" t="n">
        <x:v>12.800000000000002</x:v>
      </x:c>
      <x:c r="C18" s="26" t="n">
        <x:v>10</x:v>
      </x:c>
      <x:c r="D18" s="26" t="n">
        <x:v>2</x:v>
      </x:c>
      <x:c r="E18" s="26" t="n">
        <x:v>0.14203174877580949</x:v>
      </x:c>
      <x:c r="F18" s="26" t="n">
        <x:v>0.01972663177441799</x:v>
      </x:c>
      <x:c r="G18" s="26" t="n">
        <x:v>0.1450038347375572</x:v>
      </x:c>
    </x:row>
    <x:row r="19">
      <x:c r="A19" s="26" t="n">
        <x:v>0.6500000000000001</x:v>
      </x:c>
      <x:c r="B19" s="26" t="n">
        <x:v>13.000000000000004</x:v>
      </x:c>
      <x:c r="C19" s="26" t="n">
        <x:v>10</x:v>
      </x:c>
      <x:c r="D19" s="26" t="n">
        <x:v>2</x:v>
      </x:c>
      <x:c r="E19" s="26" t="n">
        <x:v>0.15371470524790729</x:v>
      </x:c>
      <x:c r="F19" s="26" t="n">
        <x:v>0.02195924360684391</x:v>
      </x:c>
      <x:c r="G19" s="26" t="n">
        <x:v>0.16043933079178466</x:v>
      </x:c>
    </x:row>
    <x:row r="20">
      <x:c r="A20" s="26" t="n">
        <x:v>0.6600000000000001</x:v>
      </x:c>
      <x:c r="B20" s="26" t="n">
        <x:v>13.200000000000003</x:v>
      </x:c>
      <x:c r="C20" s="26" t="n">
        <x:v>10</x:v>
      </x:c>
      <x:c r="D20" s="26" t="n">
        <x:v>2</x:v>
      </x:c>
      <x:c r="E20" s="26" t="n">
        <x:v>0.16602311678787537</x:v>
      </x:c>
      <x:c r="F20" s="26" t="n">
        <x:v>0.024415164233511095</x:v>
      </x:c>
      <x:c r="G20" s="26" t="n">
        <x:v>0.17648588691047362</x:v>
      </x:c>
    </x:row>
    <x:row r="21">
      <x:c r="A21" s="26" t="n">
        <x:v>0.6700000000000002</x:v>
      </x:c>
      <x:c r="B21" s="26" t="n">
        <x:v>13.400000000000002</x:v>
      </x:c>
      <x:c r="C21" s="26" t="n">
        <x:v>10</x:v>
      </x:c>
      <x:c r="D21" s="26" t="n">
        <x:v>2</x:v>
      </x:c>
      <x:c r="E21" s="26" t="n">
        <x:v>0.17896851544234302</x:v>
      </x:c>
      <x:c r="F21" s="26" t="n">
        <x:v>0.027116441733688344</x:v>
      </x:c>
      <x:c r="G21" s="26" t="n">
        <x:v>0.19321013538762824</x:v>
      </x:c>
    </x:row>
    <x:row r="22">
      <x:c r="A22" s="26" t="n">
        <x:v>0.6800000000000002</x:v>
      </x:c>
      <x:c r="B22" s="26" t="n">
        <x:v>13.600000000000003</x:v>
      </x:c>
      <x:c r="C22" s="26" t="n">
        <x:v>10</x:v>
      </x:c>
      <x:c r="D22" s="26" t="n">
        <x:v>2</x:v>
      </x:c>
      <x:c r="E22" s="26" t="n">
        <x:v>0.19256171823635654</x:v>
      </x:c>
      <x:c r="F22" s="26" t="n">
        <x:v>0.030087768474430725</x:v>
      </x:c>
      <x:c r="G22" s="26" t="n">
        <x:v>0.21068651736387148</x:v>
      </x:c>
    </x:row>
    <x:row r="23">
      <x:c r="A23" s="26" t="n">
        <x:v>0.6900000000000002</x:v>
      </x:c>
      <x:c r="B23" s="26" t="n">
        <x:v>13.800000000000004</x:v>
      </x:c>
      <x:c r="C23" s="26" t="n">
        <x:v>10</x:v>
      </x:c>
      <x:c r="D23" s="26" t="n">
        <x:v>2</x:v>
      </x:c>
      <x:c r="E23" s="26" t="n">
        <x:v>0.20681282443971227</x:v>
      </x:c>
      <x:c r="F23" s="26" t="n">
        <x:v>0.03335690716769555</x:v>
      </x:c>
      <x:c r="G23" s="26" t="n">
        <x:v>0.22899857242178068</x:v>
      </x:c>
    </x:row>
    <x:row r="24">
      <x:c r="A24" s="26" t="n">
        <x:v>0.7000000000000002</x:v>
      </x:c>
      <x:c r="B24" s="26" t="n">
        <x:v>14.000000000000004</x:v>
      </x:c>
      <x:c r="C24" s="26" t="n">
        <x:v>10</x:v>
      </x:c>
      <x:c r="D24" s="26" t="n">
        <x:v>2</x:v>
      </x:c>
      <x:c r="E24" s="26" t="n">
        <x:v>0.2217312158838157</x:v>
      </x:c>
      <x:c r="F24" s="26" t="n">
        <x:v>0.036955202647302635</x:v>
      </x:c>
      <x:c r="G24" s="26" t="n">
        <x:v>0.2482404839408534</x:v>
      </x:c>
    </x:row>
    <x:row r="25">
      <x:c r="A25" s="26" t="n">
        <x:v>0.7100000000000002</x:v>
      </x:c>
      <x:c r="B25" s="26" t="n">
        <x:v>14.200000000000003</x:v>
      </x:c>
      <x:c r="C25" s="26" t="n">
        <x:v>10</x:v>
      </x:c>
      <x:c r="D25" s="26" t="n">
        <x:v>2</x:v>
      </x:c>
      <x:c r="E25" s="26" t="n">
        <x:v>0.2373255601008098</x:v>
      </x:c>
      <x:c r="F25" s="26" t="n">
        <x:v>0.04091820001738102</x:v>
      </x:c>
      <x:c r="G25" s="26" t="n">
        <x:v>0.26851894213708977</x:v>
      </x:c>
    </x:row>
    <x:row r="26">
      <x:c r="A26" s="26" t="n">
        <x:v>0.7200000000000002</x:v>
      </x:c>
      <x:c r="B26" s="26" t="n">
        <x:v>14.400000000000004</x:v>
      </x:c>
      <x:c r="C26" s="26" t="n">
        <x:v>10</x:v>
      </x:c>
      <x:c r="D26" s="26" t="n">
        <x:v>2</x:v>
      </x:c>
      <x:c r="E26" s="26" t="n">
        <x:v>0.2536038160551865</x:v>
      </x:c>
      <x:c r="F26" s="26" t="n">
        <x:v>0.04528639572414048</x:v>
      </x:c>
      <x:c r="G26" s="26" t="n">
        <x:v>0.2899554043853458</x:v>
      </x:c>
    </x:row>
    <x:row r="27">
      <x:c r="A27" s="26" t="n">
        <x:v>0.7300000000000002</x:v>
      </x:c>
      <x:c r="B27" s="26" t="n">
        <x:v>14.600000000000005</x:v>
      </x:c>
      <x:c r="C27" s="26" t="n">
        <x:v>10</x:v>
      </x:c>
      <x:c r="D27" s="26" t="n">
        <x:v>2</x:v>
      </x:c>
      <x:c r="E27" s="26" t="n">
        <x:v>0.27057324223911194</x:v>
      </x:c>
      <x:c r="F27" s="26" t="n">
        <x:v>0.050106155970205964</x:v>
      </x:c>
      <x:c r="G27" s="26" t="n">
        <x:v>0.3126888559891403</x:v>
      </x:c>
    </x:row>
    <x:row r="28">
      <x:c r="A28" s="26" t="n">
        <x:v>0.7400000000000002</x:v>
      </x:c>
      <x:c r="B28" s="26" t="n">
        <x:v>14.800000000000004</x:v>
      </x:c>
      <x:c r="C28" s="26" t="n">
        <x:v>10</x:v>
      </x:c>
      <x:c r="D28" s="26" t="n">
        <x:v>2</x:v>
      </x:c>
      <x:c r="E28" s="26" t="n">
        <x:v>0.2882404069059154</x:v>
      </x:c>
      <x:c r="F28" s="26" t="n">
        <x:v>0.05543084748190685</x:v>
      </x:c>
      <x:c r="G28" s="26" t="n">
        <x:v>0.3368792062888554</x:v>
      </x:c>
    </x:row>
    <x:row r="29">
      <x:c r="A29" s="26" t="n">
        <x:v>0.7500000000000002</x:v>
      </x:c>
      <x:c r="B29" s="26" t="n">
        <x:v>15.000000000000004</x:v>
      </x:c>
      <x:c r="C29" s="26" t="n">
        <x:v>10</x:v>
      </x:c>
      <x:c r="D29" s="26" t="n">
        <x:v>2</x:v>
      </x:c>
      <x:c r="E29" s="26" t="n">
        <x:v>0.306611200221297</x:v>
      </x:c>
      <x:c r="F29" s="26" t="n">
        <x:v>0.06132224004425944</x:v>
      </x:c>
      <x:c r="G29" s="26" t="n">
        <x:v>0.3627114981488984</x:v>
      </x:c>
    </x:row>
    <x:row r="30">
      <x:c r="A30" s="26" t="n">
        <x:v>0.7600000000000002</x:v>
      </x:c>
      <x:c r="B30" s="26" t="n">
        <x:v>15.200000000000005</x:v>
      </x:c>
      <x:c r="C30" s="26" t="n">
        <x:v>10</x:v>
      </x:c>
      <x:c r="D30" s="26" t="n">
        <x:v>2</x:v>
      </x:c>
      <x:c r="E30" s="26" t="n">
        <x:v>0.32569084811849447</x:v>
      </x:c>
      <x:c r="F30" s="26" t="n">
        <x:v>0.06785226002468642</x:v>
      </x:c>
      <x:c r="G30" s="26" t="n">
        <x:v>0.3904011681968797</x:v>
      </x:c>
    </x:row>
    <x:row r="31">
      <x:c r="A31" s="26" t="n">
        <x:v>0.7700000000000002</x:v>
      </x:c>
      <x:c r="B31" s="26" t="n">
        <x:v>15.400000000000006</x:v>
      </x:c>
      <x:c r="C31" s="26" t="n">
        <x:v>10</x:v>
      </x:c>
      <x:c r="D31" s="26" t="n">
        <x:v>2</x:v>
      </x:c>
      <x:c r="E31" s="26" t="n">
        <x:v>0.34548392765163444</x:v>
      </x:c>
      <x:c r="F31" s="26" t="n">
        <x:v>0.07510520166339889</x:v>
      </x:c>
      <x:c r="G31" s="26" t="n">
        <x:v>0.4202006777390248</x:v>
      </x:c>
    </x:row>
    <x:row r="32">
      <x:c r="A32" s="26" t="n">
        <x:v>0.7800000000000002</x:v>
      </x:c>
      <x:c r="B32" s="26" t="n">
        <x:v>15.600000000000005</x:v>
      </x:c>
      <x:c r="C32" s="26" t="n">
        <x:v>10</x:v>
      </x:c>
      <x:c r="D32" s="26" t="n">
        <x:v>2</x:v>
      </x:c>
      <x:c r="E32" s="26" t="n">
        <x:v>0.36599438365050907</x:v>
      </x:c>
      <x:c r="F32" s="26" t="n">
        <x:v>0.08318054173875215</x:v>
      </x:c>
      <x:c r="G32" s="26" t="n">
        <x:v>0.4524079505996123</x:v>
      </x:c>
    </x:row>
    <x:row r="33">
      <x:c r="A33" s="26" t="n">
        <x:v>0.7900000000000003</x:v>
      </x:c>
      <x:c r="B33" s="26" t="n">
        <x:v>15.800000000000004</x:v>
      </x:c>
      <x:c r="C33" s="26" t="n">
        <x:v>10</x:v>
      </x:c>
      <x:c r="D33" s="26" t="n">
        <x:v>2</x:v>
      </x:c>
      <x:c r="E33" s="26" t="n">
        <x:v>0.3872255464898346</x:v>
      </x:c>
      <x:c r="F33" s="26" t="n">
        <x:v>0.09219655868805594</x:v>
      </x:c>
      <x:c r="G33" s="26" t="n">
        <x:v>0.4873772203101417</x:v>
      </x:c>
    </x:row>
    <x:row r="34">
      <x:c r="A34" s="26" t="n">
        <x:v>0.8000000000000003</x:v>
      </x:c>
      <x:c r="B34" s="26" t="n">
        <x:v>16.000000000000007</x:v>
      </x:c>
      <x:c r="C34" s="26" t="n">
        <x:v>10</x:v>
      </x:c>
      <x:c r="D34" s="26" t="n">
        <x:v>2</x:v>
      </x:c>
      <x:c r="E34" s="26" t="n">
        <x:v>0.4091801507964444</x:v>
      </x:c>
      <x:c r="F34" s="26" t="n">
        <x:v>0.10229503769911127</x:v>
      </x:c>
      <x:c r="G34" s="26" t="n">
        <x:v>0.5255331300331854</x:v>
      </x:c>
    </x:row>
    <x:row r="35">
      <x:c r="A35" s="26" t="n">
        <x:v>0.8100000000000003</x:v>
      </x:c>
      <x:c r="B35" s="26" t="n">
        <x:v>16.200000000000006</x:v>
      </x:c>
      <x:c r="C35" s="26" t="n">
        <x:v>10</x:v>
      </x:c>
      <x:c r="D35" s="26" t="n">
        <x:v>2</x:v>
      </x:c>
      <x:c r="E35" s="26" t="n">
        <x:v>0.4318603549286542</x:v>
      </x:c>
      <x:c r="F35" s="26" t="n">
        <x:v>0.11364746182333024</x:v>
      </x:c>
      <x:c r="G35" s="26" t="n">
        <x:v>0.5673892837049092</x:v>
      </x:c>
    </x:row>
    <x:row r="36">
      <x:c r="A36" s="26" t="n">
        <x:v>0.8200000000000003</x:v>
      </x:c>
      <x:c r="B36" s="26" t="n">
        <x:v>16.400000000000006</x:v>
      </x:c>
      <x:c r="C36" s="26" t="n">
        <x:v>10</x:v>
      </x:c>
      <x:c r="D36" s="26" t="n">
        <x:v>2</x:v>
      </x:c>
      <x:c r="E36" s="26" t="n">
        <x:v>0.455267761073048</x:v>
      </x:c>
      <x:c r="F36" s="26" t="n">
        <x:v>0.12646326696473575</x:v>
      </x:c>
      <x:c r="G36" s="26" t="n">
        <x:v>0.6135729795299248</x:v>
      </x:c>
    </x:row>
    <x:row r="37">
      <x:c r="A37" s="26" t="n">
        <x:v>0.8300000000000003</x:v>
      </x:c>
      <x:c r="B37" s="26" t="n">
        <x:v>16.600000000000005</x:v>
      </x:c>
      <x:c r="C37" s="26" t="n">
        <x:v>10</x:v>
      </x:c>
      <x:c r="D37" s="26" t="n">
        <x:v>2</x:v>
      </x:c>
      <x:c r="E37" s="26" t="n">
        <x:v>0.4794034358149976</x:v>
      </x:c>
      <x:c r="F37" s="26" t="n">
        <x:v>0.14100101053382302</x:v>
      </x:c>
      <x:c r="G37" s="26" t="n">
        <x:v>0.6648586716038244</x:v>
      </x:c>
    </x:row>
    <x:row r="38">
      <x:c r="A38" s="26" t="n">
        <x:v>0.8400000000000003</x:v>
      </x:c>
      <x:c r="B38" s="26" t="n">
        <x:v>16.800000000000004</x:v>
      </x:c>
      <x:c r="C38" s="26" t="n">
        <x:v>10</x:v>
      </x:c>
      <x:c r="D38" s="26" t="n">
        <x:v>2</x:v>
      </x:c>
      <x:c r="E38" s="26" t="n">
        <x:v>0.5042679310502675</x:v>
      </x:c>
      <x:c r="F38" s="26" t="n">
        <x:v>0.15758372845320878</x:v>
      </x:c>
      <x:c r="G38" s="26" t="n">
        <x:v>0.7222139783174437</x:v>
      </x:c>
    </x:row>
    <x:row r="39">
      <x:c r="A39" s="26" t="n">
        <x:v>0.8500000000000003</x:v>
      </x:c>
      <x:c r="B39" s="26" t="n">
        <x:v>17.000000000000007</x:v>
      </x:c>
      <x:c r="C39" s="26" t="n">
        <x:v>10</x:v>
      </x:c>
      <x:c r="D39" s="26" t="n">
        <x:v>2</x:v>
      </x:c>
      <x:c r="E39" s="26" t="n">
        <x:v>0.5298613051159043</x:v>
      </x:c>
      <x:c r="F39" s="26" t="n">
        <x:v>0.1766204350386352</x:v>
      </x:c>
      <x:c r="G39" s="26" t="n">
        <x:v>0.7868640928036894</x:v>
      </x:c>
    </x:row>
    <x:row r="40">
      <x:c r="A40" s="26" t="n">
        <x:v>0.8600000000000003</x:v>
      </x:c>
      <x:c r="B40" s="26" t="n">
        <x:v>17.200000000000006</x:v>
      </x:c>
      <x:c r="C40" s="26" t="n">
        <x:v>10</x:v>
      </x:c>
      <x:c r="D40" s="26" t="n">
        <x:v>2</x:v>
      </x:c>
      <x:c r="E40" s="26" t="n">
        <x:v>0.5561831440292144</x:v>
      </x:c>
      <x:c r="F40" s="26" t="n">
        <x:v>0.1986368371532913</x:v>
      </x:c>
      <x:c r="G40" s="26" t="n">
        <x:v>0.8603837965427047</x:v>
      </x:c>
    </x:row>
    <x:row r="41">
      <x:c r="A41" s="26" t="n">
        <x:v>0.8700000000000003</x:v>
      </x:c>
      <x:c r="B41" s="26" t="n">
        <x:v>17.400000000000006</x:v>
      </x:c>
      <x:c r="C41" s="26" t="n">
        <x:v>10</x:v>
      </x:c>
      <x:c r="D41" s="26" t="n">
        <x:v>2</x:v>
      </x:c>
      <x:c r="E41" s="26" t="n">
        <x:v>0.5832325827339214</x:v>
      </x:c>
      <x:c r="F41" s="26" t="n">
        <x:v>0.2243202241284318</x:v>
      </x:c>
      <x:c r="G41" s="26" t="n">
        <x:v>0.9448319394580861</x:v>
      </x:c>
    </x:row>
    <x:row r="42">
      <x:c r="A42" s="26" t="n">
        <x:v>0.8800000000000003</x:v>
      </x:c>
      <x:c r="B42" s="26" t="n">
        <x:v>17.60000000000001</x:v>
      </x:c>
      <x:c r="C42" s="26" t="n">
        <x:v>10</x:v>
      </x:c>
      <x:c r="D42" s="26" t="n">
        <x:v>2</x:v>
      </x:c>
      <x:c r="E42" s="26" t="n">
        <x:v>0.6110083262624675</x:v>
      </x:c>
      <x:c r="F42" s="26" t="n">
        <x:v>0.25458680260936234</x:v>
      </x:c>
      <x:c r="G42" s="26" t="n">
        <x:v>1.0429531587172587</x:v>
      </x:c>
    </x:row>
    <x:row r="43">
      <x:c r="A43" s="26" t="n">
        <x:v>0.8900000000000003</x:v>
      </x:c>
      <x:c r="B43" s="26" t="n">
        <x:v>17.800000000000008</x:v>
      </x:c>
      <x:c r="C43" s="26" t="n">
        <x:v>10</x:v>
      </x:c>
      <x:c r="D43" s="26" t="n">
        <x:v>2</x:v>
      </x:c>
      <x:c r="E43" s="26" t="n">
        <x:v>0.6395086707328903</x:v>
      </x:c>
      <x:c r="F43" s="26" t="n">
        <x:v>0.29068575942404207</x:v>
      </x:c>
      <x:c r="G43" s="26" t="n">
        <x:v>1.1584896245962044</x:v>
      </x:c>
    </x:row>
    <x:row r="44">
      <x:c r="A44" s="26" t="n">
        <x:v>0.9000000000000004</x:v>
      </x:c>
      <x:c r="B44" s="26" t="n">
        <x:v>18.000000000000007</x:v>
      </x:c>
      <x:c r="C44" s="26" t="n">
        <x:v>10</x:v>
      </x:c>
      <x:c r="D44" s="26" t="n">
        <x:v>2</x:v>
      </x:c>
      <x:c r="E44" s="26" t="n">
        <x:v>0.668731524107698</x:v>
      </x:c>
      <x:c r="F44" s="26" t="n">
        <x:v>0.33436576205385016</x:v>
      </x:c>
      <x:c r="G44" s="26" t="n">
        <x:v>1.2966798324489621</x:v>
      </x:c>
    </x:row>
    <x:row r="45">
      <x:c r="A45" s="26" t="n">
        <x:v>0.9100000000000004</x:v>
      </x:c>
      <x:c r="B45" s="26" t="n">
        <x:v>18.200000000000006</x:v>
      </x:c>
      <x:c r="C45" s="26" t="n">
        <x:v>10</x:v>
      </x:c>
      <x:c r="D45" s="26" t="n">
        <x:v>2</x:v>
      </x:c>
      <x:c r="E45" s="26" t="n">
        <x:v>0.6986744266506434</x:v>
      </x:c>
      <x:c r="F45" s="26" t="n">
        <x:v>0.3881524592503588</x:v>
      </x:c>
      <x:c r="G45" s="26" t="n">
        <x:v>1.4650899211835</x:v>
      </x:c>
    </x:row>
    <x:row r="46">
      <x:c r="A46" s="26" t="n">
        <x:v>0.9200000000000004</x:v>
      </x:c>
      <x:c r="B46" s="26" t="n">
        <x:v>18.400000000000006</x:v>
      </x:c>
      <x:c r="C46" s="26" t="n">
        <x:v>10</x:v>
      </x:c>
      <x:c r="D46" s="26" t="n">
        <x:v>2</x:v>
      </x:c>
      <x:c r="E46" s="26" t="n">
        <x:v>0.7293345710253094</x:v>
      </x:c>
      <x:c r="F46" s="26" t="n">
        <x:v>0.45583410689082</x:v>
      </x:c>
      <x:c r="G46" s="26" t="n">
        <x:v>1.675068479039021</x:v>
      </x:c>
    </x:row>
    <x:row r="47">
      <x:c r="A47" s="26" t="n">
        <x:v>0.9300000000000004</x:v>
      </x:c>
      <x:c r="B47" s="26" t="n">
        <x:v>18.60000000000001</x:v>
      </x:c>
      <x:c r="C47" s="26" t="n">
        <x:v>10</x:v>
      </x:c>
      <x:c r="D47" s="26" t="n">
        <x:v>2</x:v>
      </x:c>
      <x:c r="E47" s="26" t="n">
        <x:v>0.7607088219868863</x:v>
      </x:c>
      <x:c r="F47" s="26" t="n">
        <x:v>0.5433634442763506</x:v>
      </x:c>
      <x:c r="G47" s="26" t="n">
        <x:v>1.9444483240740946</x:v>
      </x:c>
    </x:row>
    <x:row r="48">
      <x:c r="A48" s="26" t="n">
        <x:v>0.9400000000000004</x:v>
      </x:c>
      <x:c r="B48" s="26" t="n">
        <x:v>18.800000000000008</x:v>
      </x:c>
      <x:c r="C48" s="26" t="n">
        <x:v>10</x:v>
      </x:c>
      <x:c r="D48" s="26" t="n">
        <x:v>2</x:v>
      </x:c>
      <x:c r="E48" s="26" t="n">
        <x:v>0.7927937356254701</x:v>
      </x:c>
      <x:c r="F48" s="26" t="n">
        <x:v>0.6606614463545627</x:v>
      </x:c>
      <x:c r="G48" s="26" t="n">
        <x:v>2.3029500633116897</x:v>
      </x:c>
    </x:row>
    <x:row r="49">
      <x:c r="A49" s="26" t="n">
        <x:v>0.9500000000000004</x:v>
      </x:c>
      <x:c r="B49" s="26" t="n">
        <x:v>19.000000000000007</x:v>
      </x:c>
      <x:c r="C49" s="26" t="n">
        <x:v>10</x:v>
      </x:c>
      <x:c r="D49" s="26" t="n">
        <x:v>2</x:v>
      </x:c>
      <x:c r="E49" s="26" t="n">
        <x:v>0.8255855781256999</x:v>
      </x:c>
      <x:c r="F49" s="26" t="n">
        <x:v>0.8255855781257058</x:v>
      </x:c>
      <x:c r="G49" s="26" t="n">
        <x:v>2.8040699207910986</x:v>
      </x:c>
    </x:row>
    <x:row r="50">
      <x:c r="A50" s="26" t="n">
        <x:v>0.9600000000000004</x:v>
      </x:c>
      <x:c r="B50" s="26" t="n">
        <x:v>19.20000000000001</x:v>
      </x:c>
      <x:c r="C50" s="26" t="n">
        <x:v>10</x:v>
      </x:c>
      <x:c r="D50" s="26" t="n">
        <x:v>2</x:v>
      </x:c>
      <x:c r="E50" s="26" t="n">
        <x:v>0.859080344013468</x:v>
      </x:c>
      <x:c r="F50" s="26" t="n">
        <x:v>1.0738504300168483</x:v>
      </x:c>
      <x:c r="G50" s="26" t="n">
        <x:v>3.554799305264931</x:v>
      </x:c>
    </x:row>
    <x:row r="51">
      <x:c r="A51" s="26" t="n">
        <x:v>0.9700000000000004</x:v>
      </x:c>
      <x:c r="B51" s="26" t="n">
        <x:v>19.40000000000001</x:v>
      </x:c>
      <x:c r="C51" s="26" t="n">
        <x:v>10</x:v>
      </x:c>
      <x:c r="D51" s="26" t="n">
        <x:v>2</x:v>
      </x:c>
      <x:c r="E51" s="26" t="n">
        <x:v>0.8932737738659364</x:v>
      </x:c>
      <x:c r="F51" s="26" t="n">
        <x:v>1.488789623109917</x:v>
      </x:c>
      <x:c r="G51" s="26" t="n">
        <x:v>4.804783510234139</x:v>
      </x:c>
    </x:row>
    <x:row r="52">
      <x:c r="A52" s="26" t="n">
        <x:v>0.9800000000000004</x:v>
      </x:c>
      <x:c r="B52" s="26" t="n">
        <x:v>19.60000000000001</x:v>
      </x:c>
      <x:c r="C52" s="26" t="n">
        <x:v>10</x:v>
      </x:c>
      <x:c r="D52" s="26" t="n">
        <x:v>2</x:v>
      </x:c>
      <x:c r="E52" s="26" t="n">
        <x:v>0.9281613714660939</x:v>
      </x:c>
      <x:c r="F52" s="26" t="n">
        <x:v>2.3204034286652844</x:v>
      </x:c>
      <x:c r="G52" s="26" t="n">
        <x:v>7.302956509766905</x:v>
      </x:c>
    </x:row>
    <x:row r="53">
      <x:c r="A53" s="26" t="n">
        <x:v>0.9900000000000004</x:v>
      </x:c>
      <x:c r="B53" s="26" t="n">
        <x:v>19.800000000000008</x:v>
      </x:c>
      <x:c r="C53" s="26" t="n">
        <x:v>10</x:v>
      </x:c>
      <x:c r="D53" s="26" t="n">
        <x:v>2</x:v>
      </x:c>
      <x:c r="E53" s="26" t="n">
        <x:v>0.9637384203876228</x:v>
      </x:c>
      <x:c r="F53" s="26" t="n">
        <x:v>4.818692101938303</x:v>
      </x:c>
      <x:c r="G53" s="26" t="n">
        <x:v>14.793984521076627</x:v>
      </x:c>
    </x:row>
    <x:row r="54">
      <x:c r="A54" s="27"/>
      <x:c r="B54" s="27"/>
      <x:c r="C54" s="27"/>
      <x:c r="D54" s="27"/>
      <x:c r="E54" s="27"/>
      <x:c r="F54" s="27"/>
      <x:c r="G54" s="27"/>
    </x:row>
    <x:row r="55">
      <x:c r="A55" s="27"/>
      <x:c r="B55" s="27"/>
      <x:c r="C55" s="27"/>
      <x:c r="D55" s="27"/>
      <x:c r="E55" s="27"/>
      <x:c r="F55" s="27"/>
      <x:c r="G55" s="27"/>
    </x:row>
    <x:row r="56">
      <x:c r="A56" s="27"/>
      <x:c r="B56" s="27"/>
      <x:c r="C56" s="27"/>
      <x:c r="D56" s="27"/>
      <x:c r="E56" s="27"/>
      <x:c r="F56" s="27"/>
      <x:c r="G56" s="27"/>
    </x:row>
    <x:row r="57">
      <x:c r="A57" s="27"/>
      <x:c r="B57" s="27"/>
      <x:c r="C57" s="27"/>
      <x:c r="D57" s="27"/>
      <x:c r="E57" s="27"/>
      <x:c r="F57" s="27"/>
      <x:c r="G57" s="27"/>
    </x:row>
    <x:row r="58">
      <x:c r="A58" s="27"/>
      <x:c r="B58" s="27"/>
      <x:c r="C58" s="27"/>
      <x:c r="D58" s="27"/>
      <x:c r="E58" s="27"/>
      <x:c r="F58" s="27"/>
      <x:c r="G58" s="27"/>
    </x:row>
    <x:row r="59">
      <x:c r="A59" s="27"/>
      <x:c r="B59" s="27"/>
      <x:c r="C59" s="27"/>
      <x:c r="D59" s="27"/>
      <x:c r="E59" s="27"/>
      <x:c r="F59" s="27"/>
      <x:c r="G59" s="27"/>
    </x:row>
    <x:row r="60">
      <x:c r="A60" s="27"/>
      <x:c r="B60" s="27"/>
      <x:c r="C60" s="27"/>
      <x:c r="D60" s="27"/>
      <x:c r="E60" s="27"/>
      <x:c r="F60" s="27"/>
      <x:c r="G60" s="2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75" hidden="0" customWidth="1"/>
    <x:col min="2" max="2" width="2.380000114440918" hidden="0" customWidth="1"/>
    <x:col min="3" max="3" width="11.880000114440918" hidden="0" customWidth="1"/>
    <x:col min="4" max="4" width="2.880000114440918" hidden="0" customWidth="1"/>
    <x:col min="5" max="5" width="2.380000114440918" hidden="0" customWidth="1"/>
    <x:col min="6" max="6" width="10.25" hidden="0" customWidth="1"/>
    <x:col min="7" max="7" width="10.25" hidden="0" customWidth="1"/>
    <x:col min="8" max="8" width="10.25" hidden="0" customWidth="1"/>
    <x:col min="9" max="9" width="11.380000114440918" hidden="0" customWidth="1"/>
  </x:cols>
  <x:sheetData>
    <x:row r="1" ht="28" customHeight="1">
      <x:c r="A1" s="4" t="str">
        <x:v>Service-Time Variance Simulation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ρ</x:v>
      </x:c>
      <x:c r="B3" s="16" t="str">
        <x:v>λ</x:v>
      </x:c>
      <x:c r="C3" s="16" t="str">
        <x:v>Mean service s</x:v>
      </x:c>
      <x:c r="D3" s="16" t="str">
        <x:v>CV</x:v>
      </x:c>
      <x:c r="E3" s="16" t="str">
        <x:v>k</x:v>
      </x:c>
      <x:c r="F3" s="16" t="str">
        <x:v>p50 queue s</x:v>
      </x:c>
      <x:c r="G3" s="16" t="str">
        <x:v>p95 queue s</x:v>
      </x:c>
      <x:c r="H3" s="16" t="str">
        <x:v>p99 queue s</x:v>
      </x:c>
      <x:c r="I3" s="16" t="str">
        <x:v>Mean queue s</x:v>
      </x:c>
    </x:row>
    <x:row r="4">
      <x:c r="A4" s="11" t="n">
        <x:v>0.65</x:v>
      </x:c>
      <x:c r="B4" s="11" t="n">
        <x:v>13</x:v>
      </x:c>
      <x:c r="C4" s="11" t="n">
        <x:v>0.5</x:v>
      </x:c>
      <x:c r="D4" s="11" t="n">
        <x:v>0.3</x:v>
      </x:c>
      <x:c r="E4" s="11" t="n">
        <x:v>10</x:v>
      </x:c>
      <x:c r="F4" s="11" t="n">
        <x:v>0</x:v>
      </x:c>
      <x:c r="G4" s="11" t="n">
        <x:v>0.10813863144412611</x:v>
      </x:c>
      <x:c r="H4" s="11" t="n">
        <x:v>0.24034627808793319</x:v>
      </x:c>
      <x:c r="I4" s="11" t="n">
        <x:v>0.013796801162851256</x:v>
      </x:c>
    </x:row>
    <x:row r="5">
      <x:c r="A5" s="11" t="n">
        <x:v>0.65</x:v>
      </x:c>
      <x:c r="B5" s="11" t="n">
        <x:v>13</x:v>
      </x:c>
      <x:c r="C5" s="11" t="n">
        <x:v>0.5</x:v>
      </x:c>
      <x:c r="D5" s="11" t="n">
        <x:v>1</x:v>
      </x:c>
      <x:c r="E5" s="11" t="n">
        <x:v>10</x:v>
      </x:c>
      <x:c r="F5" s="11" t="n">
        <x:v>0</x:v>
      </x:c>
      <x:c r="G5" s="11" t="n">
        <x:v>0.14183179293378323</x:v>
      </x:c>
      <x:c r="H5" s="11" t="n">
        <x:v>0.3654017673391165</x:v>
      </x:c>
      <x:c r="I5" s="11" t="n">
        <x:v>0.019854727152386675</x:v>
      </x:c>
    </x:row>
    <x:row r="6">
      <x:c r="A6" s="11" t="n">
        <x:v>0.65</x:v>
      </x:c>
      <x:c r="B6" s="11" t="n">
        <x:v>13</x:v>
      </x:c>
      <x:c r="C6" s="11" t="n">
        <x:v>0.5</x:v>
      </x:c>
      <x:c r="D6" s="11" t="n">
        <x:v>1.5</x:v>
      </x:c>
      <x:c r="E6" s="11" t="n">
        <x:v>10</x:v>
      </x:c>
      <x:c r="F6" s="11" t="n">
        <x:v>0</x:v>
      </x:c>
      <x:c r="G6" s="11" t="n">
        <x:v>0.18206013694427856</x:v>
      </x:c>
      <x:c r="H6" s="11" t="n">
        <x:v>0.5130732172820092</x:v>
      </x:c>
      <x:c r="I6" s="11" t="n">
        <x:v>0.026744100657227574</x:v>
      </x:c>
    </x:row>
    <x:row r="7">
      <x:c r="A7" s="11" t="n">
        <x:v>0.7</x:v>
      </x:c>
      <x:c r="B7" s="11" t="n">
        <x:v>14</x:v>
      </x:c>
      <x:c r="C7" s="11" t="n">
        <x:v>0.5</x:v>
      </x:c>
      <x:c r="D7" s="11" t="n">
        <x:v>0.3</x:v>
      </x:c>
      <x:c r="E7" s="11" t="n">
        <x:v>10</x:v>
      </x:c>
      <x:c r="F7" s="11" t="n">
        <x:v>0</x:v>
      </x:c>
      <x:c r="G7" s="11" t="n">
        <x:v>0.15319406569420876</x:v>
      </x:c>
      <x:c r="H7" s="11" t="n">
        <x:v>0.2927196681682743</x:v>
      </x:c>
      <x:c r="I7" s="11" t="n">
        <x:v>0.022012642093735685</x:v>
      </x:c>
    </x:row>
    <x:row r="8">
      <x:c r="A8" s="11" t="n">
        <x:v>0.7</x:v>
      </x:c>
      <x:c r="B8" s="11" t="n">
        <x:v>14</x:v>
      </x:c>
      <x:c r="C8" s="11" t="n">
        <x:v>0.5</x:v>
      </x:c>
      <x:c r="D8" s="11" t="n">
        <x:v>1</x:v>
      </x:c>
      <x:c r="E8" s="11" t="n">
        <x:v>10</x:v>
      </x:c>
      <x:c r="F8" s="11" t="n">
        <x:v>0</x:v>
      </x:c>
      <x:c r="G8" s="11" t="n">
        <x:v>0.22005877689298364</x:v>
      </x:c>
      <x:c r="H8" s="11" t="n">
        <x:v>0.4980981053639516</x:v>
      </x:c>
      <x:c r="I8" s="11" t="n">
        <x:v>0.03314192408574492</x:v>
      </x:c>
    </x:row>
    <x:row r="9">
      <x:c r="A9" s="11" t="n">
        <x:v>0.7</x:v>
      </x:c>
      <x:c r="B9" s="11" t="n">
        <x:v>14</x:v>
      </x:c>
      <x:c r="C9" s="11" t="n">
        <x:v>0.5</x:v>
      </x:c>
      <x:c r="D9" s="11" t="n">
        <x:v>1.5</x:v>
      </x:c>
      <x:c r="E9" s="11" t="n">
        <x:v>10</x:v>
      </x:c>
      <x:c r="F9" s="11" t="n">
        <x:v>0</x:v>
      </x:c>
      <x:c r="G9" s="11" t="n">
        <x:v>0.30017859705437794</x:v>
      </x:c>
      <x:c r="H9" s="11" t="n">
        <x:v>0.7105753042243333</x:v>
      </x:c>
      <x:c r="I9" s="11" t="n">
        <x:v>0.04557890428714749</x:v>
      </x:c>
    </x:row>
    <x:row r="10">
      <x:c r="A10" s="11" t="n">
        <x:v>0.75</x:v>
      </x:c>
      <x:c r="B10" s="11" t="n">
        <x:v>15</x:v>
      </x:c>
      <x:c r="C10" s="11" t="n">
        <x:v>0.5</x:v>
      </x:c>
      <x:c r="D10" s="11" t="n">
        <x:v>0.3</x:v>
      </x:c>
      <x:c r="E10" s="11" t="n">
        <x:v>10</x:v>
      </x:c>
      <x:c r="F10" s="11" t="n">
        <x:v>0</x:v>
      </x:c>
      <x:c r="G10" s="11" t="n">
        <x:v>0.20850601132452767</x:v>
      </x:c>
      <x:c r="H10" s="11" t="n">
        <x:v>0.36775454190268614</x:v>
      </x:c>
      <x:c r="I10" s="11" t="n">
        <x:v>0.03506870441950387</x:v>
      </x:c>
    </x:row>
    <x:row r="11">
      <x:c r="A11" s="11" t="n">
        <x:v>0.75</x:v>
      </x:c>
      <x:c r="B11" s="11" t="n">
        <x:v>15</x:v>
      </x:c>
      <x:c r="C11" s="11" t="n">
        <x:v>0.5</x:v>
      </x:c>
      <x:c r="D11" s="11" t="n">
        <x:v>1</x:v>
      </x:c>
      <x:c r="E11" s="11" t="n">
        <x:v>10</x:v>
      </x:c>
      <x:c r="F11" s="11" t="n">
        <x:v>0</x:v>
      </x:c>
      <x:c r="G11" s="11" t="n">
        <x:v>0.32274040878969573</x:v>
      </x:c>
      <x:c r="H11" s="11" t="n">
        <x:v>0.6626541970865271</x:v>
      </x:c>
      <x:c r="I11" s="11" t="n">
        <x:v>0.054932652878245294</x:v>
      </x:c>
    </x:row>
    <x:row r="12">
      <x:c r="A12" s="11" t="n">
        <x:v>0.75</x:v>
      </x:c>
      <x:c r="B12" s="11" t="n">
        <x:v>15</x:v>
      </x:c>
      <x:c r="C12" s="11" t="n">
        <x:v>0.5</x:v>
      </x:c>
      <x:c r="D12" s="11" t="n">
        <x:v>1.5</x:v>
      </x:c>
      <x:c r="E12" s="11" t="n">
        <x:v>10</x:v>
      </x:c>
      <x:c r="F12" s="11" t="n">
        <x:v>0</x:v>
      </x:c>
      <x:c r="G12" s="11" t="n">
        <x:v>0.4559269994918286</x:v>
      </x:c>
      <x:c r="H12" s="11" t="n">
        <x:v>0.9841238054176924</x:v>
      </x:c>
      <x:c r="I12" s="11" t="n">
        <x:v>0.07641996872548305</x:v>
      </x:c>
    </x:row>
    <x:row r="13">
      <x:c r="A13" s="11" t="n">
        <x:v>0.8</x:v>
      </x:c>
      <x:c r="B13" s="11" t="n">
        <x:v>16</x:v>
      </x:c>
      <x:c r="C13" s="11" t="n">
        <x:v>0.5</x:v>
      </x:c>
      <x:c r="D13" s="11" t="n">
        <x:v>0.3</x:v>
      </x:c>
      <x:c r="E13" s="11" t="n">
        <x:v>10</x:v>
      </x:c>
      <x:c r="F13" s="11" t="n">
        <x:v>0</x:v>
      </x:c>
      <x:c r="G13" s="11" t="n">
        <x:v>0.2832498132601359</x:v>
      </x:c>
      <x:c r="H13" s="11" t="n">
        <x:v>0.48553273713805895</x:v>
      </x:c>
      <x:c r="I13" s="11" t="n">
        <x:v>0.056449049755247206</x:v>
      </x:c>
    </x:row>
    <x:row r="14">
      <x:c r="A14" s="11" t="n">
        <x:v>0.8</x:v>
      </x:c>
      <x:c r="B14" s="11" t="n">
        <x:v>16</x:v>
      </x:c>
      <x:c r="C14" s="11" t="n">
        <x:v>0.5</x:v>
      </x:c>
      <x:c r="D14" s="11" t="n">
        <x:v>1</x:v>
      </x:c>
      <x:c r="E14" s="11" t="n">
        <x:v>10</x:v>
      </x:c>
      <x:c r="F14" s="11" t="n">
        <x:v>0</x:v>
      </x:c>
      <x:c r="G14" s="11" t="n">
        <x:v>0.47735121393901647</x:v>
      </x:c>
      <x:c r="H14" s="11" t="n">
        <x:v>0.8784316901342819</x:v>
      </x:c>
      <x:c r="I14" s="11" t="n">
        <x:v>0.09184619542100404</x:v>
      </x:c>
    </x:row>
    <x:row r="15">
      <x:c r="A15" s="11" t="n">
        <x:v>0.8</x:v>
      </x:c>
      <x:c r="B15" s="11" t="n">
        <x:v>16</x:v>
      </x:c>
      <x:c r="C15" s="11" t="n">
        <x:v>0.5</x:v>
      </x:c>
      <x:c r="D15" s="11" t="n">
        <x:v>1.5</x:v>
      </x:c>
      <x:c r="E15" s="11" t="n">
        <x:v>10</x:v>
      </x:c>
      <x:c r="F15" s="11" t="n">
        <x:v>0</x:v>
      </x:c>
      <x:c r="G15" s="11" t="n">
        <x:v>0.7232512481305776</x:v>
      </x:c>
      <x:c r="H15" s="11" t="n">
        <x:v>1.3299420375512154</x:v>
      </x:c>
      <x:c r="I15" s="11" t="n">
        <x:v>0.13349378886084323</x:v>
      </x:c>
    </x:row>
    <x:row r="16">
      <x:c r="A16" s="11" t="n">
        <x:v>0.85</x:v>
      </x:c>
      <x:c r="B16" s="11" t="n">
        <x:v>17</x:v>
      </x:c>
      <x:c r="C16" s="11" t="n">
        <x:v>0.5</x:v>
      </x:c>
      <x:c r="D16" s="11" t="n">
        <x:v>0.3</x:v>
      </x:c>
      <x:c r="E16" s="11" t="n">
        <x:v>10</x:v>
      </x:c>
      <x:c r="F16" s="11" t="n">
        <x:v>0.003641638881390463</x:v>
      </x:c>
      <x:c r="G16" s="11" t="n">
        <x:v>0.4000598220083705</x:v>
      </x:c>
      <x:c r="H16" s="11" t="n">
        <x:v>0.6685421234457929</x:v>
      </x:c>
      <x:c r="I16" s="11" t="n">
        <x:v>0.09362584665227858</x:v>
      </x:c>
    </x:row>
    <x:row r="17">
      <x:c r="A17" s="11" t="n">
        <x:v>0.85</x:v>
      </x:c>
      <x:c r="B17" s="11" t="n">
        <x:v>17</x:v>
      </x:c>
      <x:c r="C17" s="11" t="n">
        <x:v>0.5</x:v>
      </x:c>
      <x:c r="D17" s="11" t="n">
        <x:v>1</x:v>
      </x:c>
      <x:c r="E17" s="11" t="n">
        <x:v>10</x:v>
      </x:c>
      <x:c r="F17" s="11" t="n">
        <x:v>0.01648818171770472</x:v>
      </x:c>
      <x:c r="G17" s="11" t="n">
        <x:v>0.7424338022462792</x:v>
      </x:c>
      <x:c r="H17" s="11" t="n">
        <x:v>1.2152922552539434</x:v>
      </x:c>
      <x:c r="I17" s="11" t="n">
        <x:v>0.1603510870073116</x:v>
      </x:c>
    </x:row>
    <x:row r="18">
      <x:c r="A18" s="11" t="n">
        <x:v>0.85</x:v>
      </x:c>
      <x:c r="B18" s="11" t="n">
        <x:v>17</x:v>
      </x:c>
      <x:c r="C18" s="11" t="n">
        <x:v>0.5</x:v>
      </x:c>
      <x:c r="D18" s="11" t="n">
        <x:v>1.5</x:v>
      </x:c>
      <x:c r="E18" s="11" t="n">
        <x:v>10</x:v>
      </x:c>
      <x:c r="F18" s="11" t="n">
        <x:v>0.023403123763728217</x:v>
      </x:c>
      <x:c r="G18" s="11" t="n">
        <x:v>1.2143991871370652</x:v>
      </x:c>
      <x:c r="H18" s="11" t="n">
        <x:v>2.009413716431815</x:v>
      </x:c>
      <x:c r="I18" s="11" t="n">
        <x:v>0.24757120844279287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24.5" hidden="0" customWidth="1"/>
    <x:col min="3" max="3" width="10.130000114440918" hidden="0" customWidth="1"/>
  </x:cols>
  <x:sheetData>
    <x:row r="1" ht="28" customHeight="1">
      <x:c r="A1" s="4" t="str">
        <x:v>Burst Survival and Scale Delay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Quantity</x:v>
      </x:c>
      <x:c r="B3" s="16" t="str">
        <x:v>Value</x:v>
      </x:c>
      <x:c r="C3" s="16" t="str">
        <x:v>Unit</x:v>
      </x:c>
    </x:row>
    <x:row r="4">
      <x:c r="A4" s="11" t="str">
        <x:v>λ1</x:v>
      </x:c>
      <x:c r="B4" s="11" t="n">
        <x:v>24</x:v>
      </x:c>
      <x:c r="C4" s="11" t="str">
        <x:v>req/s</x:v>
      </x:c>
    </x:row>
    <x:row r="5">
      <x:c r="A5" s="11" t="str">
        <x:v>μ</x:v>
      </x:c>
      <x:c r="B5" s="11" t="n">
        <x:v>2</x:v>
      </x:c>
      <x:c r="C5" s="11" t="str">
        <x:v>req/s/replica</x:v>
      </x:c>
    </x:row>
    <x:row r="6">
      <x:c r="A6" s="11" t="str">
        <x:v>Scale delay</x:v>
      </x:c>
      <x:c r="B6" s="11" t="n">
        <x:v>20</x:v>
      </x:c>
      <x:c r="C6" s="11" t="str">
        <x:v>s</x:v>
      </x:c>
    </x:row>
    <x:row r="7">
      <x:c r="A7" s="11" t="str">
        <x:v>Queue budget</x:v>
      </x:c>
      <x:c r="B7" s="11" t="n">
        <x:v>3</x:v>
      </x:c>
      <x:c r="C7" s="11" t="str">
        <x:v>s</x:v>
      </x:c>
    </x:row>
    <x:row r="8">
      <x:c r="A8" s="11" t="str">
        <x:v>Strict lower bound k</x:v>
      </x:c>
      <x:c r="B8" s="11" t="n">
        <x:v>11</x:v>
      </x:c>
      <x:c r="C8" s="11" t="str">
        <x:v>replicas</x:v>
      </x:c>
    </x:row>
    <x:row r="9">
      <x:c r="A9" s="11" t="str">
        <x:v>Formula</x:v>
      </x:c>
      <x:c r="B9" s="11" t="str">
        <x:v>ceil(λ1*Tscale / (μ*(Tscale+Dq)))</x:v>
      </x:c>
      <x:c r="C9" s="11" t="str">
        <x:v>text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.380000114440918" hidden="0" customWidth="1"/>
    <x:col min="2" max="2" width="9.880000114440918" hidden="0" customWidth="1"/>
    <x:col min="3" max="3" width="10.25" hidden="0" customWidth="1"/>
    <x:col min="4" max="4" width="10.25" hidden="0" customWidth="1"/>
    <x:col min="5" max="5" width="19.6299991607666" hidden="0" customWidth="1"/>
    <x:col min="6" max="6" width="11.880000114440918" hidden="0" customWidth="1"/>
    <x:col min="7" max="7" width="25.1299991607666" hidden="0" customWidth="1"/>
    <x:col min="8" max="8" width="7.380000114440918" hidden="0" customWidth="1"/>
  </x:cols>
  <x:sheetData>
    <x:row r="1" ht="28" customHeight="1">
      <x:c r="A1" s="4" t="str">
        <x:v>Warm Cost vs Expected Undercapacity Loss — HOUSE Scenario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k</x:v>
      </x:c>
      <x:c r="B3" s="16" t="str">
        <x:v>Capacity rps</x:v>
      </x:c>
      <x:c r="C3" s="16" t="str">
        <x:v>Baseline ρ</x:v>
      </x:c>
      <x:c r="D3" s="16" t="str">
        <x:v>p95 queue s</x:v>
      </x:c>
      <x:c r="E3" s="16" t="str">
        <x:v>Expected burst violations</x:v>
      </x:c>
      <x:c r="F3" s="16" t="str">
        <x:v>Warm cost $/h</x:v>
      </x:c>
      <x:c r="G3" s="16" t="str">
        <x:v>Expected undercapacity loss $/h</x:v>
      </x:c>
      <x:c r="H3" s="16" t="str">
        <x:v>Total $/h</x:v>
      </x:c>
    </x:row>
    <x:row r="4">
      <x:c r="A4" s="11" t="n">
        <x:v>7</x:v>
      </x:c>
      <x:c r="B4" s="11" t="n">
        <x:v>14</x:v>
      </x:c>
      <x:c r="C4" s="11" t="n">
        <x:v>0.8571428571428571</x:v>
      </x:c>
      <x:c r="D4" s="11" t="n">
        <x:v>1.2538476060178674</x:v>
      </x:c>
      <x:c r="E4" s="11" t="n">
        <x:v>1112.3399999999986</x:v>
      </x:c>
      <x:c r="F4" s="11" t="n">
        <x:v>33.04</x:v>
      </x:c>
      <x:c r="G4" s="11" t="n">
        <x:v>16.685099999999977</x:v>
      </x:c>
      <x:c r="H4" s="11" t="n">
        <x:v>49.725099999999976</x:v>
      </x:c>
    </x:row>
    <x:row r="5">
      <x:c r="A5" s="11" t="n">
        <x:v>8</x:v>
      </x:c>
      <x:c r="B5" s="11" t="n">
        <x:v>16</x:v>
      </x:c>
      <x:c r="C5" s="11" t="n">
        <x:v>0.75</x:v>
      </x:c>
      <x:c r="D5" s="11" t="n">
        <x:v>0.4914149485539939</x:v>
      </x:c>
      <x:c r="E5" s="11" t="n">
        <x:v>933.4799999999931</x:v>
      </x:c>
      <x:c r="F5" s="11" t="n">
        <x:v>37.76</x:v>
      </x:c>
      <x:c r="G5" s="11" t="n">
        <x:v>14.002199999999897</x:v>
      </x:c>
      <x:c r="H5" s="11" t="n">
        <x:v>51.76219999999989</x:v>
      </x:c>
    </x:row>
    <x:row r="6">
      <x:c r="A6" s="11" t="n">
        <x:v>9</x:v>
      </x:c>
      <x:c r="B6" s="11" t="n">
        <x:v>18</x:v>
      </x:c>
      <x:c r="C6" s="11" t="n">
        <x:v>0.6666666666666666</x:v>
      </x:c>
      <x:c r="D6" s="11" t="n">
        <x:v>0.22766571080914025</x:v>
      </x:c>
      <x:c r="E6" s="11" t="n">
        <x:v>724.7999999999925</x:v>
      </x:c>
      <x:c r="F6" s="11" t="n">
        <x:v>42.48</x:v>
      </x:c>
      <x:c r="G6" s="11" t="n">
        <x:v>10.871999999999886</x:v>
      </x:c>
      <x:c r="H6" s="11" t="n">
        <x:v>53.35199999999988</x:v>
      </x:c>
    </x:row>
    <x:row r="7">
      <x:c r="A7" s="11" t="n">
        <x:v>10</x:v>
      </x:c>
      <x:c r="B7" s="11" t="n">
        <x:v>20</x:v>
      </x:c>
      <x:c r="C7" s="11" t="n">
        <x:v>0.6</x:v>
      </x:c>
      <x:c r="D7" s="11" t="n">
        <x:v>0.08825699123249037</x:v>
      </x:c>
      <x:c r="E7" s="11" t="n">
        <x:v>479.9999999999977</x:v>
      </x:c>
      <x:c r="F7" s="11" t="n">
        <x:v>47.199999999999996</x:v>
      </x:c>
      <x:c r="G7" s="11" t="n">
        <x:v>7.199999999999966</x:v>
      </x:c>
      <x:c r="H7" s="11" t="n">
        <x:v>54.39999999999996</x:v>
      </x:c>
    </x:row>
    <x:row r="8">
      <x:c r="A8" s="11" t="n">
        <x:v>11</x:v>
      </x:c>
      <x:c r="B8" s="11" t="n">
        <x:v>22</x:v>
      </x:c>
      <x:c r="C8" s="11" t="n">
        <x:v>0.5454545454545454</x:v>
      </x:c>
      <x:c r="D8" s="11" t="n">
        <x:v>0</x:v>
      </x:c>
      <x:c r="E8" s="11" t="n">
        <x:v>313.2000000000073</x:v>
      </x:c>
      <x:c r="F8" s="11" t="n">
        <x:v>51.919999999999995</x:v>
      </x:c>
      <x:c r="G8" s="11" t="n">
        <x:v>4.69800000000011</x:v>
      </x:c>
      <x:c r="H8" s="11" t="n">
        <x:v>56.6180000000001</x:v>
      </x:c>
    </x:row>
    <x:row r="9">
      <x:c r="A9" s="11" t="n">
        <x:v>12</x:v>
      </x:c>
      <x:c r="B9" s="11" t="n">
        <x:v>24</x:v>
      </x:c>
      <x:c r="C9" s="11" t="n">
        <x:v>0.5</x:v>
      </x:c>
      <x:c r="D9" s="11" t="n">
        <x:v>0</x:v>
      </x:c>
      <x:c r="E9" s="11" t="n">
        <x:v>0</x:v>
      </x:c>
      <x:c r="F9" s="11" t="n">
        <x:v>56.64</x:v>
      </x:c>
      <x:c r="G9" s="11" t="n">
        <x:v>0</x:v>
      </x:c>
      <x:c r="H9" s="11" t="n">
        <x:v>56.64</x:v>
      </x:c>
    </x:row>
    <x:row r="10">
      <x:c r="A10" s="11" t="n">
        <x:v>13</x:v>
      </x:c>
      <x:c r="B10" s="11" t="n">
        <x:v>26</x:v>
      </x:c>
      <x:c r="C10" s="11" t="n">
        <x:v>0.46153846153846156</x:v>
      </x:c>
      <x:c r="D10" s="11" t="n">
        <x:v>0</x:v>
      </x:c>
      <x:c r="E10" s="11" t="n">
        <x:v>0</x:v>
      </x:c>
      <x:c r="F10" s="11" t="n">
        <x:v>61.36</x:v>
      </x:c>
      <x:c r="G10" s="11" t="n">
        <x:v>0</x:v>
      </x:c>
      <x:c r="H10" s="11" t="n">
        <x:v>61.36</x:v>
      </x:c>
    </x:row>
    <x:row r="11">
      <x:c r="A11" s="11" t="n">
        <x:v>14</x:v>
      </x:c>
      <x:c r="B11" s="11" t="n">
        <x:v>28</x:v>
      </x:c>
      <x:c r="C11" s="11" t="n">
        <x:v>0.42857142857142855</x:v>
      </x:c>
      <x:c r="D11" s="11" t="n">
        <x:v>0</x:v>
      </x:c>
      <x:c r="E11" s="11" t="n">
        <x:v>0</x:v>
      </x:c>
      <x:c r="F11" s="11" t="n">
        <x:v>66.08</x:v>
      </x:c>
      <x:c r="G11" s="11" t="n">
        <x:v>0</x:v>
      </x:c>
      <x:c r="H11" s="11" t="n">
        <x:v>66.08</x:v>
      </x:c>
    </x:row>
    <x:row r="12">
      <x:c r="A12" s="11" t="n">
        <x:v>15</x:v>
      </x:c>
      <x:c r="B12" s="11" t="n">
        <x:v>30</x:v>
      </x:c>
      <x:c r="C12" s="11" t="n">
        <x:v>0.4</x:v>
      </x:c>
      <x:c r="D12" s="11" t="n">
        <x:v>0</x:v>
      </x:c>
      <x:c r="E12" s="11" t="n">
        <x:v>0</x:v>
      </x:c>
      <x:c r="F12" s="11" t="n">
        <x:v>70.8</x:v>
      </x:c>
      <x:c r="G12" s="11" t="n">
        <x:v>0</x:v>
      </x:c>
      <x:c r="H12" s="11" t="n">
        <x:v>70.8</x:v>
      </x:c>
    </x:row>
    <x:row r="13">
      <x:c r="A13" s="11" t="n">
        <x:v>16</x:v>
      </x:c>
      <x:c r="B13" s="11" t="n">
        <x:v>32</x:v>
      </x:c>
      <x:c r="C13" s="11" t="n">
        <x:v>0.375</x:v>
      </x:c>
      <x:c r="D13" s="11" t="n">
        <x:v>0</x:v>
      </x:c>
      <x:c r="E13" s="11" t="n">
        <x:v>0</x:v>
      </x:c>
      <x:c r="F13" s="11" t="n">
        <x:v>75.52</x:v>
      </x:c>
      <x:c r="G13" s="11" t="n">
        <x:v>0</x:v>
      </x:c>
      <x:c r="H13" s="11" t="n">
        <x:v>75.52</x:v>
      </x:c>
    </x:row>
    <x:row r="14">
      <x:c r="A14" s="11" t="n">
        <x:v>17</x:v>
      </x:c>
      <x:c r="B14" s="11" t="n">
        <x:v>34</x:v>
      </x:c>
      <x:c r="C14" s="11" t="n">
        <x:v>0.35294117647058826</x:v>
      </x:c>
      <x:c r="D14" s="11" t="n">
        <x:v>0</x:v>
      </x:c>
      <x:c r="E14" s="11" t="n">
        <x:v>0</x:v>
      </x:c>
      <x:c r="F14" s="11" t="n">
        <x:v>80.24</x:v>
      </x:c>
      <x:c r="G14" s="11" t="n">
        <x:v>0</x:v>
      </x:c>
      <x:c r="H14" s="11" t="n">
        <x:v>80.24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2.380000114440918" hidden="0" customWidth="1"/>
    <x:col min="3" max="3" width="2.380000114440918" hidden="0" customWidth="1"/>
    <x:col min="4" max="4" width="1.6299999952316284" hidden="0" customWidth="1"/>
    <x:col min="5" max="5" width="5.630000114440918" hidden="0" customWidth="1"/>
    <x:col min="6" max="6" width="5.5" hidden="0" customWidth="1"/>
    <x:col min="7" max="7" width="12.5" hidden="0" customWidth="1"/>
    <x:col min="8" max="8" width="7" hidden="0" customWidth="1"/>
    <x:col min="9" max="9" width="10.25" hidden="0" customWidth="1"/>
    <x:col min="10" max="10" width="10.25" hidden="0" customWidth="1"/>
    <x:col min="11" max="11" width="9.130000114440918" hidden="0" customWidth="1"/>
    <x:col min="12" max="12" width="15" hidden="0" customWidth="1"/>
  </x:cols>
  <x:sheetData>
    <x:row r="1" ht="28" customHeight="1">
      <x:c r="A1" s="4" t="str">
        <x:v>Canonical Scenario Results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Scenario</x:v>
      </x:c>
      <x:c r="B3" s="16" t="str">
        <x:v>λ0</x:v>
      </x:c>
      <x:c r="C3" s="16" t="str">
        <x:v>λ1</x:v>
      </x:c>
      <x:c r="D3" s="16" t="str">
        <x:v>μ</x:v>
      </x:c>
      <x:c r="E3" s="16" t="str">
        <x:v>Scale s</x:v>
      </x:c>
      <x:c r="F3" s="16" t="str">
        <x:v>P alloc</x:v>
      </x:c>
      <x:c r="G3" s="16" t="str">
        <x:v>Queue budget s</x:v>
      </x:c>
      <x:c r="H3" s="16" t="str">
        <x:v>GPU $/h</x:v>
      </x:c>
      <x:c r="I3" s="16" t="str">
        <x:v>Queue min k</x:v>
      </x:c>
      <x:c r="J3" s="16" t="str">
        <x:v>Strict burst k</x:v>
      </x:c>
      <x:c r="K3" s="16" t="str">
        <x:v>Economic k</x:v>
      </x:c>
      <x:c r="L3" s="16" t="str">
        <x:v>Economic total $/h</x:v>
      </x:c>
    </x:row>
    <x:row r="4">
      <x:c r="A4" s="11" t="str">
        <x:v>A — Stable SaaS traffic</x:v>
      </x:c>
      <x:c r="B4" s="11" t="n">
        <x:v>12</x:v>
      </x:c>
      <x:c r="C4" s="11" t="n">
        <x:v>16</x:v>
      </x:c>
      <x:c r="D4" s="11" t="n">
        <x:v>2</x:v>
      </x:c>
      <x:c r="E4" s="11" t="n">
        <x:v>15</x:v>
      </x:c>
      <x:c r="F4" s="11" t="n">
        <x:v>0.99</x:v>
      </x:c>
      <x:c r="G4" s="11" t="n">
        <x:v>0.5</x:v>
      </x:c>
      <x:c r="H4" s="11" t="n">
        <x:v>4.72</x:v>
      </x:c>
      <x:c r="I4" s="11" t="n">
        <x:v>8</x:v>
      </x:c>
      <x:c r="J4" s="11" t="n">
        <x:v>8</x:v>
      </x:c>
      <x:c r="K4" s="11" t="n">
        <x:v>8</x:v>
      </x:c>
      <x:c r="L4" s="11" t="n">
        <x:v>37.76</x:v>
      </x:c>
    </x:row>
    <x:row r="5">
      <x:c r="A5" s="11" t="str">
        <x:v>B — Bursty interactive AI</x:v>
      </x:c>
      <x:c r="B5" s="11" t="n">
        <x:v>12</x:v>
      </x:c>
      <x:c r="C5" s="11" t="n">
        <x:v>24</x:v>
      </x:c>
      <x:c r="D5" s="11" t="n">
        <x:v>2</x:v>
      </x:c>
      <x:c r="E5" s="11" t="n">
        <x:v>60</x:v>
      </x:c>
      <x:c r="F5" s="11" t="n">
        <x:v>0.9</x:v>
      </x:c>
      <x:c r="G5" s="11" t="n">
        <x:v>0.5</x:v>
      </x:c>
      <x:c r="H5" s="11" t="n">
        <x:v>4.72</x:v>
      </x:c>
      <x:c r="I5" s="11" t="n">
        <x:v>8</x:v>
      </x:c>
      <x:c r="J5" s="11" t="n">
        <x:v>12</x:v>
      </x:c>
      <x:c r="K5" s="11" t="n">
        <x:v>12</x:v>
      </x:c>
      <x:c r="L5" s="11" t="n">
        <x:v>56.64</x:v>
      </x:c>
    </x:row>
    <x:row r="6">
      <x:c r="A6" s="11" t="str">
        <x:v>C — Expensive GPU, relaxed SLO</x:v>
      </x:c>
      <x:c r="B6" s="11" t="n">
        <x:v>8</x:v>
      </x:c>
      <x:c r="C6" s="11" t="n">
        <x:v>14</x:v>
      </x:c>
      <x:c r="D6" s="11" t="n">
        <x:v>2</x:v>
      </x:c>
      <x:c r="E6" s="11" t="n">
        <x:v>10</x:v>
      </x:c>
      <x:c r="F6" s="11" t="n">
        <x:v>0.99</x:v>
      </x:c>
      <x:c r="G6" s="11" t="n">
        <x:v>3</x:v>
      </x:c>
      <x:c r="H6" s="11" t="n">
        <x:v>12.355</x:v>
      </x:c>
      <x:c r="I6" s="11" t="n">
        <x:v>5</x:v>
      </x:c>
      <x:c r="J6" s="11" t="n">
        <x:v>6</x:v>
      </x:c>
      <x:c r="K6" s="11" t="n">
        <x:v>5</x:v>
      </x:c>
      <x:c r="L6" s="11" t="n">
        <x:v>61.83695000000001</x:v>
      </x:c>
    </x:row>
    <x:row r="7">
      <x:c r="A7" s="11" t="str">
        <x:v>D — Capacity-constrained region</x:v>
      </x:c>
      <x:c r="B7" s="11" t="n">
        <x:v>10</x:v>
      </x:c>
      <x:c r="C7" s="11" t="n">
        <x:v>20</x:v>
      </x:c>
      <x:c r="D7" s="11" t="n">
        <x:v>2</x:v>
      </x:c>
      <x:c r="E7" s="11" t="n">
        <x:v>45</x:v>
      </x:c>
      <x:c r="F7" s="11" t="n">
        <x:v>0.55</x:v>
      </x:c>
      <x:c r="G7" s="11" t="n">
        <x:v>0.75</x:v>
      </x:c>
      <x:c r="H7" s="11" t="n">
        <x:v>4.72</x:v>
      </x:c>
      <x:c r="I7" s="11" t="n">
        <x:v>7</x:v>
      </x:c>
      <x:c r="J7" s="11" t="n">
        <x:v>10</x:v>
      </x:c>
      <x:c r="K7" s="11" t="n">
        <x:v>10</x:v>
      </x:c>
      <x:c r="L7" s="11" t="n">
        <x:v>47.199999999999996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9.130000114440918" hidden="0" customWidth="1"/>
    <x:col min="3" max="3" width="7.380000114440918" hidden="0" customWidth="1"/>
    <x:col min="4" max="4" width="10.25" hidden="0" customWidth="1"/>
    <x:col min="5" max="5" width="12.880000114440918" hidden="0" customWidth="1"/>
  </x:cols>
  <x:sheetData>
    <x:row r="1" ht="28" customHeight="1">
      <x:c r="A1" s="4" t="str">
        <x:v>Scale Delay and Allocation Sensitivity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Scale delay s</x:v>
      </x:c>
      <x:c r="B3" s="16" t="str">
        <x:v>Economic k</x:v>
      </x:c>
      <x:c r="C3" s="16" t="str">
        <x:v>Total $/h</x:v>
      </x:c>
      <x:c r="D3" s="16" t="str">
        <x:v>Strict burst k</x:v>
      </x:c>
      <x:c r="E3" s="16" t="str">
        <x:v>Hard SLO floor k</x:v>
      </x:c>
    </x:row>
    <x:row r="4">
      <x:c r="A4" s="11" t="n">
        <x:v>0</x:v>
      </x:c>
      <x:c r="B4" s="11" t="n">
        <x:v>7</x:v>
      </x:c>
      <x:c r="C4" s="11" t="n">
        <x:v>39.290499999999874</x:v>
      </x:c>
      <x:c r="D4" s="11" t="n">
        <x:v>1</x:v>
      </x:c>
      <x:c r="E4" s="11" t="n">
        <x:v>7</x:v>
      </x:c>
    </x:row>
    <x:row r="5">
      <x:c r="A5" s="11" t="n">
        <x:v>5</x:v>
      </x:c>
      <x:c r="B5" s="11" t="n">
        <x:v>7</x:v>
      </x:c>
      <x:c r="C5" s="11" t="n">
        <x:v>39.519999999999875</x:v>
      </x:c>
      <x:c r="D5" s="11" t="n">
        <x:v>8</x:v>
      </x:c>
      <x:c r="E5" s="11" t="n">
        <x:v>8</x:v>
      </x:c>
    </x:row>
    <x:row r="6">
      <x:c r="A6" s="11" t="n">
        <x:v>10</x:v>
      </x:c>
      <x:c r="B6" s="11" t="n">
        <x:v>7</x:v>
      </x:c>
      <x:c r="C6" s="11" t="n">
        <x:v>41.57019999999987</x:v>
      </x:c>
      <x:c r="D6" s="11" t="n">
        <x:v>10</x:v>
      </x:c>
      <x:c r="E6" s="11" t="n">
        <x:v>10</x:v>
      </x:c>
    </x:row>
    <x:row r="7">
      <x:c r="A7" s="11" t="n">
        <x:v>15</x:v>
      </x:c>
      <x:c r="B7" s="11" t="n">
        <x:v>7</x:v>
      </x:c>
      <x:c r="C7" s="11" t="n">
        <x:v>45.63999999999983</x:v>
      </x:c>
      <x:c r="D7" s="11" t="n">
        <x:v>10</x:v>
      </x:c>
      <x:c r="E7" s="11" t="n">
        <x:v>10</x:v>
      </x:c>
    </x:row>
    <x:row r="8">
      <x:c r="A8" s="11" t="n">
        <x:v>20</x:v>
      </x:c>
      <x:c r="B8" s="11" t="n">
        <x:v>7</x:v>
      </x:c>
      <x:c r="C8" s="11" t="n">
        <x:v>49.725099999999976</x:v>
      </x:c>
      <x:c r="D8" s="11" t="n">
        <x:v>11</x:v>
      </x:c>
      <x:c r="E8" s="11" t="n">
        <x:v>11</x:v>
      </x:c>
    </x:row>
    <x:row r="9">
      <x:c r="A9" s="11" t="n">
        <x:v>22</x:v>
      </x:c>
      <x:c r="B9" s="11" t="n">
        <x:v>7</x:v>
      </x:c>
      <x:c r="C9" s="11" t="n">
        <x:v>51.362200000000044</x:v>
      </x:c>
      <x:c r="D9" s="11" t="n">
        <x:v>11</x:v>
      </x:c>
      <x:c r="E9" s="11" t="n">
        <x:v>11</x:v>
      </x:c>
    </x:row>
    <x:row r="10">
      <x:c r="A10" s="11" t="n">
        <x:v>24</x:v>
      </x:c>
      <x:c r="B10" s="11" t="n">
        <x:v>7</x:v>
      </x:c>
      <x:c r="C10" s="11" t="n">
        <x:v>52.9840000000001</x:v>
      </x:c>
      <x:c r="D10" s="11" t="n">
        <x:v>11</x:v>
      </x:c>
      <x:c r="E10" s="11" t="n">
        <x:v>11</x:v>
      </x:c>
    </x:row>
    <x:row r="11">
      <x:c r="A11" s="11" t="n">
        <x:v>30</x:v>
      </x:c>
      <x:c r="B11" s="11" t="n">
        <x:v>11</x:v>
      </x:c>
      <x:c r="C11" s="11" t="n">
        <x:v>56.6180000000001</x:v>
      </x:c>
      <x:c r="D11" s="11" t="n">
        <x:v>11</x:v>
      </x:c>
      <x:c r="E11" s="11" t="n">
        <x:v>11</x:v>
      </x:c>
    </x:row>
    <x:row r="12">
      <x:c r="A12" s="11" t="n">
        <x:v>45</x:v>
      </x:c>
      <x:c r="B12" s="11" t="n">
        <x:v>12</x:v>
      </x:c>
      <x:c r="C12" s="11" t="n">
        <x:v>56.64</x:v>
      </x:c>
      <x:c r="D12" s="11" t="n">
        <x:v>12</x:v>
      </x:c>
      <x:c r="E12" s="11" t="n">
        <x:v>12</x:v>
      </x:c>
    </x:row>
    <x:row r="13">
      <x:c r="A13" s="11" t="n">
        <x:v>60</x:v>
      </x:c>
      <x:c r="B13" s="11" t="n">
        <x:v>12</x:v>
      </x:c>
      <x:c r="C13" s="11" t="n">
        <x:v>56.64</x:v>
      </x:c>
      <x:c r="D13" s="11" t="n">
        <x:v>12</x:v>
      </x:c>
      <x:c r="E13" s="11" t="n">
        <x:v>12</x:v>
      </x:c>
    </x:row>
    <x:row r="14">
      <x:c r="A14" s="11" t="n">
        <x:v>90</x:v>
      </x:c>
      <x:c r="B14" s="11" t="n">
        <x:v>12</x:v>
      </x:c>
      <x:c r="C14" s="11" t="n">
        <x:v>56.64</x:v>
      </x:c>
      <x:c r="D14" s="11" t="n">
        <x:v>12</x:v>
      </x:c>
      <x:c r="E14" s="11" t="n">
        <x:v>12</x:v>
      </x:c>
    </x:row>
    <x:row r="15">
      <x:c r="A15" s="11" t="n">
        <x:v>120</x:v>
      </x:c>
      <x:c r="B15" s="11" t="n">
        <x:v>12</x:v>
      </x:c>
      <x:c r="C15" s="11" t="n">
        <x:v>56.64</x:v>
      </x:c>
      <x:c r="D15" s="11" t="n">
        <x:v>12</x:v>
      </x:c>
      <x:c r="E15" s="11" t="n">
        <x:v>12</x:v>
      </x:c>
    </x:row>
    <x:row r="18">
      <x:c r="A18" s="16" t="str">
        <x:v>P alloc</x:v>
      </x:c>
      <x:c r="B18" s="16" t="str">
        <x:v>Economic k</x:v>
      </x:c>
      <x:c r="C18" s="16" t="str">
        <x:v>Total $/h</x:v>
      </x:c>
    </x:row>
    <x:row r="19">
      <x:c r="A19" s="11" t="n">
        <x:v>0.2</x:v>
      </x:c>
      <x:c r="B19" s="11" t="n">
        <x:v>12</x:v>
      </x:c>
      <x:c r="C19" s="11" t="n">
        <x:v>56.64</x:v>
      </x:c>
    </x:row>
    <x:row r="20">
      <x:c r="A20" s="11" t="n">
        <x:v>0.4</x:v>
      </x:c>
      <x:c r="B20" s="11" t="n">
        <x:v>12</x:v>
      </x:c>
      <x:c r="C20" s="11" t="n">
        <x:v>56.64</x:v>
      </x:c>
    </x:row>
    <x:row r="21">
      <x:c r="A21" s="11" t="n">
        <x:v>0.6</x:v>
      </x:c>
      <x:c r="B21" s="11" t="n">
        <x:v>12</x:v>
      </x:c>
      <x:c r="C21" s="11" t="n">
        <x:v>56.64</x:v>
      </x:c>
    </x:row>
    <x:row r="22">
      <x:c r="A22" s="11" t="n">
        <x:v>0.7</x:v>
      </x:c>
      <x:c r="B22" s="11" t="n">
        <x:v>7</x:v>
      </x:c>
      <x:c r="C22" s="11" t="n">
        <x:v>54.13419999999984</x:v>
      </x:c>
    </x:row>
    <x:row r="23">
      <x:c r="A23" s="11" t="n">
        <x:v>0.8</x:v>
      </x:c>
      <x:c r="B23" s="11" t="n">
        <x:v>7</x:v>
      </x:c>
      <x:c r="C23" s="11" t="n">
        <x:v>51.19479999999993</x:v>
      </x:c>
    </x:row>
    <x:row r="24">
      <x:c r="A24" s="11" t="n">
        <x:v>0.85</x:v>
      </x:c>
      <x:c r="B24" s="11" t="n">
        <x:v>7</x:v>
      </x:c>
      <x:c r="C24" s="11" t="n">
        <x:v>49.725099999999976</x:v>
      </x:c>
    </x:row>
    <x:row r="25">
      <x:c r="A25" s="11" t="n">
        <x:v>0.9</x:v>
      </x:c>
      <x:c r="B25" s="11" t="n">
        <x:v>7</x:v>
      </x:c>
      <x:c r="C25" s="11" t="n">
        <x:v>48.25540000000002</x:v>
      </x:c>
    </x:row>
    <x:row r="26">
      <x:c r="A26" s="11" t="n">
        <x:v>1</x:v>
      </x:c>
      <x:c r="B26" s="11" t="n">
        <x:v>7</x:v>
      </x:c>
      <x:c r="C26" s="11" t="n">
        <x:v>45.31600000000012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5.75" hidden="0" customWidth="1"/>
    <x:col min="3" max="3" width="13.75" hidden="0" customWidth="1"/>
    <x:col min="4" max="4" width="16.8799991607666" hidden="0" customWidth="1"/>
    <x:col min="5" max="5" width="16.5" hidden="0" customWidth="1"/>
  </x:cols>
  <x:sheetData>
    <x:row r="1" ht="28" customHeight="1">
      <x:c r="A1" s="4" t="str">
        <x:v>N / N+1 / N+2 Failure Reserve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Warm replicas</x:v>
      </x:c>
      <x:c r="B3" s="16" t="str">
        <x:v>Normal capacity rps</x:v>
      </x:c>
      <x:c r="C3" s="16" t="str">
        <x:v>After one loss rps</x:v>
      </x:c>
      <x:c r="D3" s="16" t="str">
        <x:v>Survives 24 rps peak?</x:v>
      </x:c>
      <x:c r="E3" s="16" t="str">
        <x:v>Incremental $/h vs N</x:v>
      </x:c>
    </x:row>
    <x:row r="4">
      <x:c r="A4" s="11" t="n">
        <x:v>12</x:v>
      </x:c>
      <x:c r="B4" s="11" t="n">
        <x:v>24</x:v>
      </x:c>
      <x:c r="C4" s="11" t="n">
        <x:v>22</x:v>
      </x:c>
      <x:c r="D4" s="32" t="b">
        <x:v>0</x:v>
      </x:c>
      <x:c r="E4" s="11" t="n">
        <x:v>0</x:v>
      </x:c>
    </x:row>
    <x:row r="5">
      <x:c r="A5" s="11" t="n">
        <x:v>13</x:v>
      </x:c>
      <x:c r="B5" s="11" t="n">
        <x:v>26</x:v>
      </x:c>
      <x:c r="C5" s="11" t="n">
        <x:v>24</x:v>
      </x:c>
      <x:c r="D5" s="32" t="b">
        <x:v>1</x:v>
      </x:c>
      <x:c r="E5" s="11" t="n">
        <x:v>4.72</x:v>
      </x:c>
    </x:row>
    <x:row r="6">
      <x:c r="A6" s="11" t="n">
        <x:v>14</x:v>
      </x:c>
      <x:c r="B6" s="11" t="n">
        <x:v>28</x:v>
      </x:c>
      <x:c r="C6" s="11" t="n">
        <x:v>26</x:v>
      </x:c>
      <x:c r="D6" s="32" t="b">
        <x:v>1</x:v>
      </x:c>
      <x:c r="E6" s="11" t="n">
        <x:v>9.44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8.380000114440918" hidden="0" customWidth="1"/>
    <x:col min="3" max="3" width="16.3799991607666" hidden="0" customWidth="1"/>
    <x:col min="4" max="4" width="9.630000114440918" hidden="0" customWidth="1"/>
    <x:col min="5" max="5" width="6.380000114440918" hidden="0" customWidth="1"/>
    <x:col min="6" max="6" width="23.5" hidden="0" customWidth="1"/>
    <x:col min="7" max="7" width="29.25" hidden="0" customWidth="1"/>
  </x:cols>
  <x:sheetData>
    <x:row r="1" ht="28" customHeight="1">
      <x:c r="A1" s="4" t="str">
        <x:v>Cold-Start Evidence and HOUSE Decomposition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Component</x:v>
      </x:c>
      <x:c r="B3" s="16" t="str">
        <x:v>Provider/platform</x:v>
      </x:c>
      <x:c r="C3" s="16" t="str">
        <x:v>Documented value</x:v>
      </x:c>
      <x:c r="D3" s="16" t="str">
        <x:v>Unit</x:v>
      </x:c>
      <x:c r="E3" s="16" t="str">
        <x:v>Source</x:v>
      </x:c>
      <x:c r="F3" s="16" t="str">
        <x:v>Conditions</x:v>
      </x:c>
      <x:c r="G3" s="16" t="str">
        <x:v>Caveat</x:v>
      </x:c>
    </x:row>
    <x:row r="4">
      <x:c r="A4" s="11" t="str">
        <x:v>Node/GPU provisioning</x:v>
      </x:c>
      <x:c r="B4" s="11" t="str">
        <x:v>Ray Serve LLM</x:v>
      </x:c>
      <x:c r="C4" s="11" t="str">
        <x:v>Step exists; duration not fixed</x:v>
      </x:c>
      <x:c r="D4" s="11" t="str">
        <x:v>n/a</x:v>
      </x:c>
      <x:c r="E4" s="11" t="str">
        <x:v>S02</x:v>
      </x:c>
      <x:c r="F4" s="11" t="str">
        <x:v>No GPU node already available</x:v>
      </x:c>
      <x:c r="G4" s="11" t="str">
        <x:v>Cloud/provider dependent.</x:v>
      </x:c>
    </x:row>
    <x:row r="5">
      <x:c r="A5" s="11" t="str">
        <x:v>Image download</x:v>
      </x:c>
      <x:c r="B5" s="11" t="str">
        <x:v>Ray Serve LLM</x:v>
      </x:c>
      <x:c r="C5" s="11" t="str">
        <x:v>Latency correlated with image size</x:v>
      </x:c>
      <x:c r="D5" s="11" t="str">
        <x:v>qualitative</x:v>
      </x:c>
      <x:c r="E5" s="11" t="str">
        <x:v>S02</x:v>
      </x:c>
      <x:c r="F5" s="11" t="str">
        <x:v>Image not already local</x:v>
      </x:c>
      <x:c r="G5" s="11" t="str">
        <x:v>No universal time.</x:v>
      </x:c>
    </x:row>
    <x:row r="6">
      <x:c r="A6" s="11" t="str">
        <x:v>Weights/model load</x:v>
      </x:c>
      <x:c r="B6" s="11" t="str">
        <x:v>AWS SageMaker MME</x:v>
      </x:c>
      <x:c r="C6" s="11" t="str">
        <x:v>Request may time out at 60s; loading can continue up to 360s</x:v>
      </x:c>
      <x:c r="D6" s="11" t="str">
        <x:v>seconds</x:v>
      </x:c>
      <x:c r="E6" s="11" t="str">
        <x:v>S05</x:v>
      </x:c>
      <x:c r="F6" s="11" t="str">
        <x:v>Specific MME first-load path</x:v>
      </x:c>
      <x:c r="G6" s="11" t="str">
        <x:v>Not general real-time endpoint timing.</x:v>
      </x:c>
    </x:row>
    <x:row r="7">
      <x:c r="A7" s="11" t="str">
        <x:v>Model setup</x:v>
      </x:c>
      <x:c r="B7" s="11" t="str">
        <x:v>AWS SageMaker Serverless/MME</x:v>
      </x:c>
      <x:c r="C7" s="11" t="str">
        <x:v>ModelSetupTime and model download/load metrics exposed</x:v>
      </x:c>
      <x:c r="D7" s="11" t="str">
        <x:v>microseconds metrics</x:v>
      </x:c>
      <x:c r="E7" s="11" t="str">
        <x:v>S06</x:v>
      </x:c>
      <x:c r="F7" s="11" t="str">
        <x:v>Supported endpoint modes</x:v>
      </x:c>
      <x:c r="G7" s="11" t="str">
        <x:v>Observe your own distribution.</x:v>
      </x:c>
    </x:row>
    <x:row r="8">
      <x:c r="A8" s="11" t="str">
        <x:v>Compile</x:v>
      </x:c>
      <x:c r="B8" s="11" t="str">
        <x:v>SageMaker optimized LLM / Ray-vLLM</x:v>
      </x:c>
      <x:c r="C8" s="11" t="str">
        <x:v>AOT compilation can reduce deployment/autoscaling latency; torch compile is a startup step in Ray-vLLM</x:v>
      </x:c>
      <x:c r="D8" s="11" t="str">
        <x:v>qualitative</x:v>
      </x:c>
      <x:c r="E8" s="11" t="str">
        <x:v>S02,S07</x:v>
      </x:c>
      <x:c r="F8" s="11" t="str">
        <x:v>Supported model/runtime</x:v>
      </x:c>
      <x:c r="G8" s="11" t="str">
        <x:v>Benefit depends on stack.</x:v>
      </x:c>
    </x:row>
    <x:row r="12">
      <x:c r="A12" s="16" t="str">
        <x:v>HOUSE stage</x:v>
      </x:c>
      <x:c r="B12" s="16" t="str">
        <x:v>Duration s</x:v>
      </x:c>
      <x:c r="C12" s="16" t="str">
        <x:v>Classification</x:v>
      </x:c>
      <x:c r="D12" s="16" t="str">
        <x:v>Source IDs</x:v>
      </x:c>
    </x:row>
    <x:row r="13">
      <x:c r="A13" s="11" t="str">
        <x:v>Detection + autoscaler decision</x:v>
      </x:c>
      <x:c r="B13" s="11" t="n">
        <x:v>5</x:v>
      </x:c>
      <x:c r="C13" s="11" t="str">
        <x:v>HOUSE ASSUMPTION</x:v>
      </x:c>
      <x:c r="D13" s="11" t="str">
        <x:v>S01</x:v>
      </x:c>
    </x:row>
    <x:row r="14">
      <x:c r="A14" s="11" t="str">
        <x:v>GPU/node provisioning</x:v>
      </x:c>
      <x:c r="B14" s="11" t="n">
        <x:v>20</x:v>
      </x:c>
      <x:c r="C14" s="11" t="str">
        <x:v>HOUSE ASSUMPTION</x:v>
      </x:c>
      <x:c r="D14" s="11" t="str">
        <x:v>S02,S09,S14</x:v>
      </x:c>
    </x:row>
    <x:row r="15">
      <x:c r="A15" s="11" t="str">
        <x:v>Image pull</x:v>
      </x:c>
      <x:c r="B15" s="11" t="n">
        <x:v>10</x:v>
      </x:c>
      <x:c r="C15" s="11" t="str">
        <x:v>HOUSE ASSUMPTION</x:v>
      </x:c>
      <x:c r="D15" s="11" t="str">
        <x:v>S02</x:v>
      </x:c>
    </x:row>
    <x:row r="16">
      <x:c r="A16" s="11" t="str">
        <x:v>Weights download/transfer</x:v>
      </x:c>
      <x:c r="B16" s="11" t="n">
        <x:v>25</x:v>
      </x:c>
      <x:c r="C16" s="11" t="str">
        <x:v>HOUSE ASSUMPTION</x:v>
      </x:c>
      <x:c r="D16" s="11" t="str">
        <x:v>S02,S05,S06</x:v>
      </x:c>
    </x:row>
    <x:row r="17">
      <x:c r="A17" s="11" t="str">
        <x:v>Runtime/model initialization</x:v>
      </x:c>
      <x:c r="B17" s="11" t="n">
        <x:v>10</x:v>
      </x:c>
      <x:c r="C17" s="11" t="str">
        <x:v>HOUSE ASSUMPTION</x:v>
      </x:c>
      <x:c r="D17" s="11" t="str">
        <x:v>S02</x:v>
      </x:c>
    </x:row>
    <x:row r="18">
      <x:c r="A18" s="11" t="str">
        <x:v>Compile + memory profiling</x:v>
      </x:c>
      <x:c r="B18" s="11" t="n">
        <x:v>10</x:v>
      </x:c>
      <x:c r="C18" s="11" t="str">
        <x:v>HOUSE ASSUMPTION</x:v>
      </x:c>
      <x:c r="D18" s="11" t="str">
        <x:v>S02,S07</x:v>
      </x:c>
    </x:row>
    <x:row r="19">
      <x:c r="A19" s="11" t="str">
        <x:v>Health check + traffic registration</x:v>
      </x:c>
      <x:c r="B19" s="11" t="n">
        <x:v>10</x:v>
      </x:c>
      <x:c r="C19" s="11" t="str">
        <x:v>HOUSE ASSUMPTION</x:v>
      </x:c>
      <x:c r="D19" s="11" t="str">
        <x:v>S02,S06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.5" hidden="0" customWidth="1"/>
    <x:col min="3" max="3" width="9.25" hidden="0" customWidth="1"/>
    <x:col min="4" max="4" width="16.5" hidden="0" customWidth="1"/>
    <x:col min="5" max="5" width="9.25" hidden="0" customWidth="1"/>
    <x:col min="6" max="6" width="32.25" hidden="0" customWidth="1"/>
    <x:col min="7" max="7" width="5.75" hidden="0" customWidth="1"/>
  </x:cols>
  <x:sheetData>
    <x:row r="1" ht="28" customHeight="1">
      <x:c r="A1" s="4" t="str">
        <x:v>Current Accelerator Pricing Reference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Provider</x:v>
      </x:c>
      <x:c r="B3" s="16" t="str">
        <x:v>Instance</x:v>
      </x:c>
      <x:c r="C3" s="16" t="str">
        <x:v>Accelerator</x:v>
      </x:c>
      <x:c r="D3" s="16" t="str">
        <x:v>Region</x:v>
      </x:c>
      <x:c r="E3" s="16" t="str">
        <x:v>Hourly USD</x:v>
      </x:c>
      <x:c r="F3" s="16" t="str">
        <x:v>Scope</x:v>
      </x:c>
      <x:c r="G3" s="16" t="str">
        <x:v>Source</x:v>
      </x:c>
    </x:row>
    <x:row r="4">
      <x:c r="A4" s="11" t="str">
        <x:v>AWS EC2 Capacity Blocks</x:v>
      </x:c>
      <x:c r="B4" s="11" t="str">
        <x:v>p5.4xlarge</x:v>
      </x:c>
      <x:c r="C4" s="11" t="str">
        <x:v>1 x H100</x:v>
      </x:c>
      <x:c r="D4" s="11" t="str">
        <x:v>Asia Pacific (Mumbai)</x:v>
      </x:c>
      <x:c r="E4" s="11" t="n">
        <x:v>4.72</x:v>
      </x:c>
      <x:c r="F4" s="11" t="str">
        <x:v>Capacity Block effective rate</x:v>
      </x:c>
      <x:c r="G4" s="11" t="str">
        <x:v>S08</x:v>
      </x:c>
    </x:row>
    <x:row r="5">
      <x:c r="A5" s="11" t="str">
        <x:v>AWS EC2 Capacity Blocks</x:v>
      </x:c>
      <x:c r="B5" s="11" t="str">
        <x:v>p5.4xlarge</x:v>
      </x:c>
      <x:c r="C5" s="11" t="str">
        <x:v>1 x H100</x:v>
      </x:c>
      <x:c r="D5" s="11" t="str">
        <x:v>US East (N. Virginia)</x:v>
      </x:c>
      <x:c r="E5" s="11" t="n">
        <x:v>5.191</x:v>
      </x:c>
      <x:c r="F5" s="11" t="str">
        <x:v>Capacity Block effective rate</x:v>
      </x:c>
      <x:c r="G5" s="11" t="str">
        <x:v>S08</x:v>
      </x:c>
    </x:row>
    <x:row r="6">
      <x:c r="A6" s="11" t="str">
        <x:v>AWS EC2 Capacity Blocks</x:v>
      </x:c>
      <x:c r="B6" s="11" t="str">
        <x:v>p6-b200.48xlarge</x:v>
      </x:c>
      <x:c r="C6" s="11" t="str">
        <x:v>8 x B200</x:v>
      </x:c>
      <x:c r="D6" s="11" t="str">
        <x:v>US East (N. Virginia)</x:v>
      </x:c>
      <x:c r="E6" s="11" t="n">
        <x:v>98.84</x:v>
      </x:c>
      <x:c r="F6" s="11" t="str">
        <x:v>Per instance; $12.355 per accelerator-hour</x:v>
      </x:c>
      <x:c r="G6" s="11" t="str">
        <x:v>S08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.25" hidden="0" customWidth="1"/>
    <x:col min="2" max="2" width="14.630000114440918" hidden="0" customWidth="1"/>
    <x:col min="3" max="3" width="29.6299991607666" hidden="0" customWidth="1"/>
    <x:col min="4" max="4" width="55" hidden="0" customWidth="1"/>
    <x:col min="5" max="5" width="30.3799991607666" hidden="0" customWidth="1"/>
    <x:col min="6" max="6" width="55" hidden="0" customWidth="1"/>
    <x:col min="7" max="7" width="55" hidden="0" customWidth="1"/>
  </x:cols>
  <x:sheetData>
    <x:row r="1" ht="28" customHeight="1">
      <x:c r="A1" s="4" t="str">
        <x:v>Primary Source Map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ID</x:v>
      </x:c>
      <x:c r="B3" s="16" t="str">
        <x:v>Organization</x:v>
      </x:c>
      <x:c r="C3" s="16" t="str">
        <x:v>Document</x:v>
      </x:c>
      <x:c r="D3" s="16" t="str">
        <x:v>URL</x:v>
      </x:c>
      <x:c r="E3" s="16" t="str">
        <x:v>Version/date</x:v>
      </x:c>
      <x:c r="F3" s="16" t="str">
        <x:v>Claim supported</x:v>
      </x:c>
      <x:c r="G3" s="16" t="str">
        <x:v>Limitation</x:v>
      </x:c>
    </x:row>
    <x:row r="4">
      <x:c r="A4" s="11" t="str">
        <x:v>S01</x:v>
      </x:c>
      <x:c r="B4" s="11" t="str">
        <x:v>Ray</x:v>
      </x:c>
      <x:c r="C4" s="11" t="str">
        <x:v>Advanced Ray Serve Autoscaling</x:v>
      </x:c>
      <x:c r="D4" s="11" t="str">
        <x:v>https://docs.ray.io/en/latest/serve/advanced-guides/advanced-autoscaling.html</x:v>
      </x:c>
      <x:c r="E4" s="11" t="str">
        <x:v>Ray 2.56.0 current docs</x:v>
      </x:c>
      <x:c r="F4" s="11" t="str">
        <x:v>min_replicas &gt; 0 keeps baseline replicas; min_replicas=0 creates cold-start tail latency; target_ongoing_requests is tied to latency objective; upscale_delay_s defaults to 30s in current docs</x:v>
      </x:c>
      <x:c r="G4" s="11" t="str">
        <x:v>Framework behavior, not a universal cloud or LLM cold-start duration.</x:v>
      </x:c>
    </x:row>
    <x:row r="5">
      <x:c r="A5" s="11" t="str">
        <x:v>S02</x:v>
      </x:c>
      <x:c r="B5" s="11" t="str">
        <x:v>Ray</x:v>
      </x:c>
      <x:c r="C5" s="11" t="str">
        <x:v>Deployment Initialization</x:v>
      </x:c>
      <x:c r="D5" s="11" t="str">
        <x:v>https://docs.ray.io/en/latest/serve/llm/user-guides/deployment-initialization.html</x:v>
      </x:c>
      <x:c r="E5" s="11" t="str">
        <x:v>current docs accessed 2026-08-11</x:v>
      </x:c>
      <x:c r="F5" s="11" t="str">
        <x:v>LLM replica startup includes node provisioning, image download, Ray/vLLM process initialization, model loading, torch compile, and vLLM memory profiling</x:v>
      </x:c>
      <x:c r="G5" s="11" t="str">
        <x:v>No universal duration is specified.</x:v>
      </x:c>
    </x:row>
    <x:row r="6">
      <x:c r="A6" s="11" t="str">
        <x:v>S03</x:v>
      </x:c>
      <x:c r="B6" s="11" t="str">
        <x:v>vLLM</x:v>
      </x:c>
      <x:c r="C6" s="11" t="str">
        <x:v>Production Metrics</x:v>
      </x:c>
      <x:c r="D6" s="11" t="str">
        <x:v>https://docs.vllm.ai/en/stable/usage/metrics/</x:v>
      </x:c>
      <x:c r="E6" s="11" t="str">
        <x:v>current stable docs, crawled 2026-08-11</x:v>
      </x:c>
      <x:c r="F6" s="11" t="str">
        <x:v>Exposes waiting/running request gauges, queue-time histogram, TTFT, E2E latency, and KV-cache metrics</x:v>
      </x:c>
      <x:c r="G6" s="11" t="str">
        <x:v>Metrics do not prescribe a universal autoscaling policy.</x:v>
      </x:c>
    </x:row>
    <x:row r="7">
      <x:c r="A7" s="11" t="str">
        <x:v>S04</x:v>
      </x:c>
      <x:c r="B7" s="11" t="str">
        <x:v>NVIDIA Triton</x:v>
      </x:c>
      <x:c r="C7" s="11" t="str">
        <x:v>Metrics</x:v>
      </x:c>
      <x:c r="D7" s="11" t="str">
        <x:v>https://docs.nvidia.com/deeplearning/triton-inference-server/archives/triton-inference-server-2600/user-guide/docs/user_guide/metrics.html</x:v>
      </x:c>
      <x:c r="E7" s="11" t="str">
        <x:v>Triton 26.00 docs</x:v>
      </x:c>
      <x:c r="F7" s="11" t="str">
        <x:v>Separates request time, queue time, compute-input, compute-infer, and compute-output time; exposes tail-latency summaries/histograms</x:v>
      </x:c>
      <x:c r="G7" s="11" t="str">
        <x:v>Generic inference server; not LLM-specific queueing model.</x:v>
      </x:c>
    </x:row>
    <x:row r="8">
      <x:c r="A8" s="11" t="str">
        <x:v>S05</x:v>
      </x:c>
      <x:c r="B8" s="11" t="str">
        <x:v>AWS SageMaker AI</x:v>
      </x:c>
      <x:c r="C8" s="11" t="str">
        <x:v>Invoke a Multi-Model Endpoint</x:v>
      </x:c>
      <x:c r="D8" s="11" t="str">
        <x:v>https://docs.aws.amazon.com/sagemaker/latest/dg/invoke-multi-model-endpoint.html</x:v>
      </x:c>
      <x:c r="E8" s="11" t="str">
        <x:v>current docs accessed 2026-08-11</x:v>
      </x:c>
      <x:c r="F8" s="11" t="str">
        <x:v>First request to a model can cold-start because the model is downloaded and loaded; InvokeEndpoint may return ModelNotReady after 60s while model loading continues up to 360s in this MME path</x:v>
      </x:c>
      <x:c r="G8" s="11" t="str">
        <x:v>Specific to SageMaker multi-model endpoints; not a universal LLM cold-start number.</x:v>
      </x:c>
    </x:row>
    <x:row r="9">
      <x:c r="A9" s="11" t="str">
        <x:v>S06</x:v>
      </x:c>
      <x:c r="B9" s="11" t="str">
        <x:v>AWS SageMaker AI</x:v>
      </x:c>
      <x:c r="C9" s="11" t="str">
        <x:v>CloudWatch metrics for SageMaker AI</x:v>
      </x:c>
      <x:c r="D9" s="11" t="str">
        <x:v>https://docs.aws.amazon.com/sagemaker/latest/dg/monitoring-cloudwatch.html</x:v>
      </x:c>
      <x:c r="E9" s="11" t="str">
        <x:v>current docs accessed 2026-08-11</x:v>
      </x:c>
      <x:c r="F9" s="11" t="str">
        <x:v>Documents ModelSetupTime for serverless and model download/load/wait metrics for multi-model endpoints</x:v>
      </x:c>
      <x:c r="G9" s="11" t="str">
        <x:v>Measured values depend on model/container/platform conditions.</x:v>
      </x:c>
    </x:row>
    <x:row r="10">
      <x:c r="A10" s="11" t="str">
        <x:v>S07</x:v>
      </x:c>
      <x:c r="B10" s="11" t="str">
        <x:v>AWS SageMaker AI</x:v>
      </x:c>
      <x:c r="C10" s="11" t="str">
        <x:v>Inference optimization for models</x:v>
      </x:c>
      <x:c r="D10" s="11" t="str">
        <x:v>https://docs.aws.amazon.com/en_us/sagemaker/latest/dg/model-optimize.html</x:v>
      </x:c>
      <x:c r="E10" s="11" t="str">
        <x:v>current docs accessed 2026-08-11</x:v>
      </x:c>
      <x:c r="F10" s="11" t="str">
        <x:v>Ahead-of-time compilation and fast model loading can reduce deployment/autoscaling latency; fast loading streams pre-sharded weights directly to GPUs</x:v>
      </x:c>
      <x:c r="G10" s="11" t="str">
        <x:v>Technique availability and benefit vary by supported model/hardware.</x:v>
      </x:c>
    </x:row>
    <x:row r="11">
      <x:c r="A11" s="11" t="str">
        <x:v>S08</x:v>
      </x:c>
      <x:c r="B11" s="11" t="str">
        <x:v>AWS</x:v>
      </x:c>
      <x:c r="C11" s="11" t="str">
        <x:v>EC2 Capacity Blocks for ML Pricing</x:v>
      </x:c>
      <x:c r="D11" s="11" t="str">
        <x:v>https://aws.amazon.com/ec2/capacityblocks/pricing/</x:v>
      </x:c>
      <x:c r="E11" s="11" t="str">
        <x:v>current pricing accessed 2026-08-11</x:v>
      </x:c>
      <x:c r="F11" s="11" t="str">
        <x:v>p5.4xlarge Capacity Block rate is $4.720/H100-hour in Mumbai/Tokyo/London and $5.191/H100-hour in N. Virginia/Ohio/Oregon; p6-b200.48xlarge is $12.355/B200-hour in listed US regions</x:v>
      </x:c>
      <x:c r="G11" s="11" t="str">
        <x:v>Capacity Block effective rates, not universal On-Demand endpoint prices; supply-dependent product.</x:v>
      </x:c>
    </x:row>
    <x:row r="12">
      <x:c r="A12" s="11" t="str">
        <x:v>S09</x:v>
      </x:c>
      <x:c r="B12" s="11" t="str">
        <x:v>Google Cloud</x:v>
      </x:c>
      <x:c r="C12" s="11" t="str">
        <x:v>Allocation quotas</x:v>
      </x:c>
      <x:c r="D12" s="11" t="str">
        <x:v>https://docs.cloud.google.com/compute/resource-usage</x:v>
      </x:c>
      <x:c r="E12" s="11" t="str">
        <x:v>current docs updated 2026</x:v>
      </x:c>
      <x:c r="F12" s="11" t="str">
        <x:v>Quota is only a maximum if resources are available; quota does not guarantee actual resource availability</x:v>
      </x:c>
      <x:c r="G12" s="11" t="str">
        <x:v>General Compute Engine allocation rule, not a measured probability for a specific GPU request.</x:v>
      </x:c>
    </x:row>
    <x:row r="13">
      <x:c r="A13" s="11" t="str">
        <x:v>S10</x:v>
      </x:c>
      <x:c r="B13" s="11" t="str">
        <x:v>Google Cloud</x:v>
      </x:c>
      <x:c r="C13" s="11" t="str">
        <x:v>About reservations</x:v>
      </x:c>
      <x:c r="D13" s="11" t="str">
        <x:v>https://docs.cloud.google.com/compute/docs/instances/reservations-overview</x:v>
      </x:c>
      <x:c r="E13" s="11" t="str">
        <x:v>current docs updated 2026</x:v>
      </x:c>
      <x:c r="F13" s="11" t="str">
        <x:v>Reservations hold zonal capacity even when VMs are not running and are billed at the on-demand rate while the reservation exists</x:v>
      </x:c>
      <x:c r="G13" s="11" t="str">
        <x:v>Reservation guarantees capacity, not model/runtime readiness.</x:v>
      </x:c>
    </x:row>
    <x:row r="14">
      <x:c r="A14" s="11" t="str">
        <x:v>S11</x:v>
      </x:c>
      <x:c r="B14" s="11" t="str">
        <x:v>AWS EC2</x:v>
      </x:c>
      <x:c r="C14" s="11" t="str">
        <x:v>Capacity Blocks for ML</x:v>
      </x:c>
      <x:c r="D14" s="11" t="str">
        <x:v>https://docs.aws.amazon.com/AWSEC2/latest/UserGuide/ec2-capacity-blocks.html</x:v>
      </x:c>
      <x:c r="E14" s="11" t="str">
        <x:v>current docs accessed 2026-08-11</x:v>
      </x:c>
      <x:c r="F14" s="11" t="str">
        <x:v>Capacity Blocks provide predictable capacity assurance for selected accelerated instances during reserved windows</x:v>
      </x:c>
      <x:c r="G14" s="11" t="str">
        <x:v>Reservation product for selected types/regions; does not itself make inference runtime warm.</x:v>
      </x:c>
    </x:row>
    <x:row r="15">
      <x:c r="A15" s="11" t="str">
        <x:v>S12</x:v>
      </x:c>
      <x:c r="B15" s="11" t="str">
        <x:v>Google Vertex AI</x:v>
      </x:c>
      <x:c r="C15" s="11" t="str">
        <x:v>DedicatedResources</x:v>
      </x:c>
      <x:c r="D15" s="11" t="str">
        <x:v>https://docs.cloud.google.com/java/docs/reference/google-cloud-vertexai/latest/com.google.cloud.vertexai.api.DedicatedResources</x:v>
      </x:c>
      <x:c r="E15" s="11" t="str">
        <x:v>current client docs 1.47/1.48 family</x:v>
      </x:c>
      <x:c r="F15" s="11" t="str">
        <x:v>minReplicaCount is always deployed; maxReplicaCount limits scale-out; if traffic exceeds max capacity some traffic may be dropped</x:v>
      </x:c>
      <x:c r="G15" s="11" t="str">
        <x:v>API contract, not a measured autoscaling reaction time.</x:v>
      </x:c>
    </x:row>
    <x:row r="16">
      <x:c r="A16" s="11" t="str">
        <x:v>S13</x:v>
      </x:c>
      <x:c r="B16" s="11" t="str">
        <x:v>J. F. C. Kingman</x:v>
      </x:c>
      <x:c r="C16" s="11" t="str">
        <x:v>The single server queue in heavy traffic</x:v>
      </x:c>
      <x:c r="D16" s="11" t="str">
        <x:v>https://doi.org/10.1017/S0305004100036094</x:v>
      </x:c>
      <x:c r="E16" s="11" t="str">
        <x:v>1961 research note</x:v>
      </x:c>
      <x:c r="F16" s="11" t="str">
        <x:v>Primary queueing research establishing heavy-traffic behavior for a single-server queue</x:v>
      </x:c>
      <x:c r="G16" s="11" t="str">
        <x:v>Classical queueing theory; LLM workloads require workload-specific validation.</x:v>
      </x:c>
    </x:row>
    <x:row r="17">
      <x:c r="A17" s="11" t="str">
        <x:v>S14</x:v>
      </x:c>
      <x:c r="B17" s="11" t="str">
        <x:v>AWS EC2</x:v>
      </x:c>
      <x:c r="C17" s="11" t="str">
        <x:v>InsufficientInstanceCapacity error</x:v>
      </x:c>
      <x:c r="D17" s="11" t="str">
        <x:v>https://docs.aws.amazon.com/ec2/latest/devguide/errors-overview.html</x:v>
      </x:c>
      <x:c r="E17" s="11" t="str">
        <x:v>current docs accessed 2026-08-11</x:v>
      </x:c>
      <x:c r="F17" s="11" t="str">
        <x:v>EC2 can reject launches because there is not enough capacity; suggested mitigations include smaller requests/different types/waiting</x:v>
      </x:c>
      <x:c r="G17" s="11" t="str">
        <x:v>Does not provide probability for a specific GPU/region/time.</x:v>
      </x:c>
    </x:row>
  </x:sheetData>
  <x:mergeCells>
    <x:mergeCell ref="A1:H1"/>
  </x:mergeCells>
  <x:pageMargins left="0.7" right="0.7" top="0.75" bottom="0.75" header="0.3" footer="0.3"/>
</x:worksheet>
</file>