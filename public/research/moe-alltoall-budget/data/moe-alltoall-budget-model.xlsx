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ed15715e6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2019df46e64b5e"/>
    <x:sheet xmlns:r="http://schemas.openxmlformats.org/officeDocument/2006/relationships" name="INPUTS" sheetId="2" r:id="R39fe6fbbe70c4c3c"/>
    <x:sheet xmlns:r="http://schemas.openxmlformats.org/officeDocument/2006/relationships" name="CALCULATOR" sheetId="3" r:id="R1df7e4770c2c4f75"/>
    <x:sheet xmlns:r="http://schemas.openxmlformats.org/officeDocument/2006/relationships" name="SCENARIOS" sheetId="4" r:id="R0d2746d764f4487c"/>
    <x:sheet xmlns:r="http://schemas.openxmlformats.org/officeDocument/2006/relationships" name="TOPK" sheetId="5" r:id="R04cb2608a8bf4056"/>
    <x:sheet xmlns:r="http://schemas.openxmlformats.org/officeDocument/2006/relationships" name="BREAK_EVEN" sheetId="6" r:id="Rc01834c7fc874f1e"/>
    <x:sheet xmlns:r="http://schemas.openxmlformats.org/officeDocument/2006/relationships" name="ROUTING_SKEW" sheetId="7" r:id="R64734a4a25b04d82"/>
    <x:sheet xmlns:r="http://schemas.openxmlformats.org/officeDocument/2006/relationships" name="TOPOLOGY" sheetId="8" r:id="Rbedb3d031b424b94"/>
    <x:sheet xmlns:r="http://schemas.openxmlformats.org/officeDocument/2006/relationships" name="BENCHMARKS" sheetId="9" r:id="R7262edc083b040af"/>
    <x:sheet xmlns:r="http://schemas.openxmlformats.org/officeDocument/2006/relationships" name="SOURCES" sheetId="10" r:id="R01322f0d6cd2406f"/>
    <x:sheet xmlns:r="http://schemas.openxmlformats.org/officeDocument/2006/relationships" name="CLIENT_INPUT" sheetId="11" r:id="R987312adbc0c408c"/>
    <x:sheet xmlns:r="http://schemas.openxmlformats.org/officeDocument/2006/relationships" name="COST" sheetId="12" r:id="Ra299c19e291f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BFF"/>
      </x:patternFill>
    </x:fill>
    <x:fill>
      <x:patternFill patternType="solid">
        <x:fgColor rgb="FF11110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160708cb64072" /><Relationship Type="http://schemas.openxmlformats.org/officeDocument/2006/relationships/theme" Target="/xl/theme/theme1.xml" Id="R4f426ff660cd43f8" /><Relationship Type="http://schemas.openxmlformats.org/officeDocument/2006/relationships/sharedStrings" Target="/xl/sharedStrings.xml" Id="Radee81008e024d18" /><Relationship Type="http://schemas.openxmlformats.org/officeDocument/2006/relationships/worksheet" Target="/xl/worksheets/sheet1.xml" Id="R0d2019df46e64b5e" /><Relationship Type="http://schemas.openxmlformats.org/officeDocument/2006/relationships/worksheet" Target="/xl/worksheets/sheet2.xml" Id="R39fe6fbbe70c4c3c" /><Relationship Type="http://schemas.openxmlformats.org/officeDocument/2006/relationships/worksheet" Target="/xl/worksheets/sheet3.xml" Id="R1df7e4770c2c4f75" /><Relationship Type="http://schemas.openxmlformats.org/officeDocument/2006/relationships/worksheet" Target="/xl/worksheets/sheet4.xml" Id="R0d2746d764f4487c" /><Relationship Type="http://schemas.openxmlformats.org/officeDocument/2006/relationships/worksheet" Target="/xl/worksheets/sheet5.xml" Id="R04cb2608a8bf4056" /><Relationship Type="http://schemas.openxmlformats.org/officeDocument/2006/relationships/worksheet" Target="/xl/worksheets/sheet6.xml" Id="Rc01834c7fc874f1e" /><Relationship Type="http://schemas.openxmlformats.org/officeDocument/2006/relationships/worksheet" Target="/xl/worksheets/sheet7.xml" Id="R64734a4a25b04d82" /><Relationship Type="http://schemas.openxmlformats.org/officeDocument/2006/relationships/worksheet" Target="/xl/worksheets/sheet8.xml" Id="Rbedb3d031b424b94" /><Relationship Type="http://schemas.openxmlformats.org/officeDocument/2006/relationships/worksheet" Target="/xl/worksheets/sheet9.xml" Id="R7262edc083b040af" /><Relationship Type="http://schemas.openxmlformats.org/officeDocument/2006/relationships/worksheet" Target="/xl/worksheets/sheet10.xml" Id="R01322f0d6cd2406f" /><Relationship Type="http://schemas.openxmlformats.org/officeDocument/2006/relationships/worksheet" Target="/xl/worksheets/sheet11.xml" Id="R987312adbc0c408c" /><Relationship Type="http://schemas.openxmlformats.org/officeDocument/2006/relationships/worksheet" Target="/xl/worksheets/sheet12.xml" Id="Ra299c19e291f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3" t="str">
        <x:v>README</x:v>
      </x:c>
    </x:row>
    <x:row r="3">
      <x:c r="A3" s="8" t="str">
        <x:v>Field</x:v>
      </x:c>
      <x:c r="B3" s="8" t="str">
        <x:v>Value</x:v>
      </x:c>
    </x:row>
    <x:row r="4">
      <x:c r="A4" s="12" t="str">
        <x:v>Purpose</x:v>
      </x:c>
      <x:c r="B4" s="12" t="str">
        <x:v>Estimate expert-parallel routed bytes, communication time, overlap exposure and break-even bandwidth.</x:v>
      </x:c>
    </x:row>
    <x:row r="5">
      <x:c r="A5" s="12" t="str">
        <x:v>Status</x:v>
      </x:c>
      <x:c r="B5" s="12" t="str">
        <x:v>Research model; HOUSE inputs are illustrative until replaced by measured company data.</x:v>
      </x:c>
    </x:row>
    <x:row r="6">
      <x:c r="A6" s="12" t="str">
        <x:v>Core invariant</x:v>
      </x:c>
      <x:c r="B6" s="12" t="str">
        <x:v>Sparse advantage requires expert compute + exposed communication &lt; dense-equivalent time.</x:v>
      </x:c>
    </x:row>
    <x:row r="7">
      <x:c r="A7" s="12" t="str">
        <x:v>Unknown handling</x:v>
      </x:c>
      <x:c r="B7" s="12" t="str">
        <x:v>Missing measurements should remain blank / insufficient, not zero.</x:v>
      </x:c>
    </x:row>
    <x:row r="8">
      <x:c r="A8" s="12" t="str">
        <x:v>Research date</x:v>
      </x:c>
      <x:c r="B8" s="12" t="str">
        <x:v>2026-08-11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8" hidden="0" customWidth="1"/>
    <x:col min="4" max="4" width="42" hidden="0" customWidth="1"/>
  </x:cols>
  <x:sheetData>
    <x:row r="1">
      <x:c r="A1" s="3" t="str">
        <x:v>INPUTS</x:v>
      </x:c>
    </x:row>
    <x:row r="3">
      <x:c r="A3" s="8" t="str">
        <x:v>Input</x:v>
      </x:c>
      <x:c r="B3" s="8" t="str">
        <x:v>Value</x:v>
      </x:c>
      <x:c r="C3" s="8" t="str">
        <x:v>Unit / meaning</x:v>
      </x:c>
      <x:c r="D3" s="8" t="str">
        <x:v>Status</x:v>
      </x:c>
    </x:row>
    <x:row r="4">
      <x:c r="A4" s="12" t="str">
        <x:v>Tokens N</x:v>
      </x:c>
      <x:c r="B4" s="12" t="n">
        <x:v>8192</x:v>
      </x:c>
      <x:c r="C4" s="12" t="str">
        <x:v>tokens per MoE layer step</x:v>
      </x:c>
      <x:c r="D4" s="12" t="str">
        <x:v>SOURCE-BACKED shape used in DeepEP benchmark</x:v>
      </x:c>
    </x:row>
    <x:row r="5">
      <x:c r="A5" s="12" t="str">
        <x:v>Hidden H</x:v>
      </x:c>
      <x:c r="B5" s="12" t="n">
        <x:v>7168</x:v>
      </x:c>
      <x:c r="C5" s="12" t="str">
        <x:v>elements per hidden state</x:v>
      </x:c>
      <x:c r="D5" s="12" t="str">
        <x:v>SOURCE-BACKED DeepSeek-V3</x:v>
      </x:c>
    </x:row>
    <x:row r="6">
      <x:c r="A6" s="12" t="str">
        <x:v>Top-k</x:v>
      </x:c>
      <x:c r="B6" s="12" t="n">
        <x:v>8</x:v>
      </x:c>
      <x:c r="C6" s="12" t="str">
        <x:v>experts per token</x:v>
      </x:c>
      <x:c r="D6" s="12" t="str">
        <x:v>SOURCE-BACKED DeepSeek-V3</x:v>
      </x:c>
    </x:row>
    <x:row r="7">
      <x:c r="A7" s="12" t="str">
        <x:v>Dispatch bytes/element</x:v>
      </x:c>
      <x:c r="B7" s="12" t="n">
        <x:v>1</x:v>
      </x:c>
      <x:c r="C7" s="12" t="str">
        <x:v>bytes</x:v>
      </x:c>
      <x:c r="D7" s="12" t="str">
        <x:v>SOURCE-BACKED DeepEP benchmark FP8 dispatch</x:v>
      </x:c>
    </x:row>
    <x:row r="8">
      <x:c r="A8" s="12" t="str">
        <x:v>Combine bytes/element</x:v>
      </x:c>
      <x:c r="B8" s="12" t="n">
        <x:v>2</x:v>
      </x:c>
      <x:c r="C8" s="12" t="str">
        <x:v>bytes</x:v>
      </x:c>
      <x:c r="D8" s="12" t="str">
        <x:v>SOURCE-BACKED DeepEP benchmark BF16 combine</x:v>
      </x:c>
    </x:row>
    <x:row r="9">
      <x:c r="A9" s="12" t="str">
        <x:v>Remote fraction</x:v>
      </x:c>
      <x:c r="B9" s="12" t="n">
        <x:v>0.5</x:v>
      </x:c>
      <x:c r="C9" s="12" t="str">
        <x:v>fraction crossing studied fabric</x:v>
      </x:c>
      <x:c r="D9" s="12" t="str">
        <x:v>HOUSE</x:v>
      </x:c>
    </x:row>
    <x:row r="10">
      <x:c r="A10" s="12" t="str">
        <x:v>Effective bandwidth</x:v>
      </x:c>
      <x:c r="B10" s="12" t="n">
        <x:v>45</x:v>
      </x:c>
      <x:c r="C10" s="12" t="str">
        <x:v>GB/s</x:v>
      </x:c>
      <x:c r="D10" s="12" t="str">
        <x:v>HOUSE</x:v>
      </x:c>
    </x:row>
    <x:row r="11">
      <x:c r="A11" s="12" t="str">
        <x:v>Startup latency</x:v>
      </x:c>
      <x:c r="B11" s="12" t="n">
        <x:v>0.05</x:v>
      </x:c>
      <x:c r="C11" s="12" t="str">
        <x:v>ms</x:v>
      </x:c>
      <x:c r="D11" s="12" t="str">
        <x:v>HOUSE</x:v>
      </x:c>
    </x:row>
    <x:row r="12">
      <x:c r="A12" s="12" t="str">
        <x:v>Dense-equivalent compute</x:v>
      </x:c>
      <x:c r="B12" s="12" t="n">
        <x:v>18</x:v>
      </x:c>
      <x:c r="C12" s="12" t="str">
        <x:v>ms</x:v>
      </x:c>
      <x:c r="D12" s="12" t="str">
        <x:v>HOUSE</x:v>
      </x:c>
    </x:row>
    <x:row r="13">
      <x:c r="A13" s="12" t="str">
        <x:v>Sparse expert compute</x:v>
      </x:c>
      <x:c r="B13" s="12" t="n">
        <x:v>8</x:v>
      </x:c>
      <x:c r="C13" s="12" t="str">
        <x:v>ms</x:v>
      </x:c>
      <x:c r="D13" s="12" t="str">
        <x:v>HOUSE</x:v>
      </x:c>
    </x:row>
    <x:row r="14">
      <x:c r="A14" s="12" t="str">
        <x:v>Overlap efficiency</x:v>
      </x:c>
      <x:c r="B14" s="12" t="n">
        <x:v>0.3</x:v>
      </x:c>
      <x:c r="C14" s="12" t="str">
        <x:v>0..1</x:v>
      </x:c>
      <x:c r="D14" s="12" t="str">
        <x:v>HOUSE</x:v>
      </x:c>
    </x:row>
    <x:row r="15">
      <x:c r="A15" s="12" t="str">
        <x:v>GPU count</x:v>
      </x:c>
      <x:c r="B15" s="12" t="n">
        <x:v>256</x:v>
      </x:c>
      <x:c r="C15" s="12" t="str">
        <x:v>GPUs</x:v>
      </x:c>
      <x:c r="D15" s="12" t="str">
        <x:v>HOUSE cost example</x:v>
      </x:c>
    </x:row>
    <x:row r="16">
      <x:c r="A16" s="12" t="str">
        <x:v>GPU cost</x:v>
      </x:c>
      <x:c r="B16" s="12" t="n">
        <x:v>4</x:v>
      </x:c>
      <x:c r="C16" s="12" t="str">
        <x:v>USD/GPU-hour</x:v>
      </x:c>
      <x:c r="D16" s="12" t="str">
        <x:v>HOUSE</x:v>
      </x:c>
    </x:row>
    <x:row r="17">
      <x:c r="A17" s="12" t="str">
        <x:v>Training steps</x:v>
      </x:c>
      <x:c r="B17" s="12" t="n">
        <x:v>1000000</x:v>
      </x:c>
      <x:c r="C17" s="12" t="str">
        <x:v>steps</x:v>
      </x:c>
      <x:c r="D17" s="12" t="str">
        <x:v>HOUSE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18" hidden="0" customWidth="1"/>
    <x:col min="4" max="4" width="62" hidden="0" customWidth="1"/>
  </x:cols>
  <x:sheetData>
    <x:row r="1">
      <x:c r="A1" s="3" t="str">
        <x:v>CALCULATOR</x:v>
      </x:c>
    </x:row>
    <x:row r="3">
      <x:c r="A3" s="8" t="str">
        <x:v>Metric</x:v>
      </x:c>
      <x:c r="B3" s="8" t="str">
        <x:v>Value</x:v>
      </x:c>
      <x:c r="C3" s="8" t="str">
        <x:v>Unit</x:v>
      </x:c>
      <x:c r="D3" s="8" t="str">
        <x:v>Formula / rule</x:v>
      </x:c>
    </x:row>
    <x:row r="4">
      <x:c r="A4" t="str">
        <x:v>Logical dispatch</x:v>
      </x:c>
      <x:c r="B4" t="n">
        <x:f>INPUTS!B4*INPUTS!B6*INPUTS!B5*INPUTS!B7</x:f>
        <x:v>469762048</x:v>
      </x:c>
      <x:c r="C4" t="str">
        <x:v>bytes</x:v>
      </x:c>
      <x:c r="D4" t="str">
        <x:v>NkHs_dispatch</x:v>
      </x:c>
    </x:row>
    <x:row r="5">
      <x:c r="A5" t="str">
        <x:v>Logical combine</x:v>
      </x:c>
      <x:c r="B5" t="n">
        <x:f>INPUTS!B4*INPUTS!B6*INPUTS!B5*INPUTS!B8</x:f>
        <x:v>939524096</x:v>
      </x:c>
      <x:c r="C5" t="str">
        <x:v>bytes</x:v>
      </x:c>
      <x:c r="D5" t="str">
        <x:v>NkHs_combine</x:v>
      </x:c>
    </x:row>
    <x:row r="6">
      <x:c r="A6" t="str">
        <x:v>Logical forward total</x:v>
      </x:c>
      <x:c r="B6" t="n">
        <x:f>B4+B5</x:f>
        <x:v>1409286144</x:v>
      </x:c>
      <x:c r="C6" t="str">
        <x:v>bytes</x:v>
      </x:c>
      <x:c r="D6" t="str">
        <x:v>sum</x:v>
      </x:c>
    </x:row>
    <x:row r="7">
      <x:c r="A7" t="str">
        <x:v>Remote network payload</x:v>
      </x:c>
      <x:c r="B7" t="n">
        <x:f>B6*INPUTS!B9</x:f>
        <x:v>704643072</x:v>
      </x:c>
      <x:c r="C7" t="str">
        <x:v>bytes</x:v>
      </x:c>
      <x:c r="D7" t="str">
        <x:v>× p_remote</x:v>
      </x:c>
    </x:row>
    <x:row r="8">
      <x:c r="A8" t="str">
        <x:v>Raw network time</x:v>
      </x:c>
      <x:c r="B8" t="n">
        <x:f>INPUTS!B11+(B7/1000000000)/INPUTS!B10*1000</x:f>
        <x:v>15.708734933333332</x:v>
      </x:c>
      <x:c r="C8" t="str">
        <x:v>ms</x:v>
      </x:c>
      <x:c r="D8" t="str">
        <x:v>startup + D/B</x:v>
      </x:c>
    </x:row>
    <x:row r="9">
      <x:c r="A9" t="str">
        <x:v>Overlap time</x:v>
      </x:c>
      <x:c r="B9" t="n">
        <x:f>INPUTS!B14*MIN(INPUTS!B13,B8)</x:f>
        <x:v>2.4</x:v>
      </x:c>
      <x:c r="C9" t="str">
        <x:v>ms</x:v>
      </x:c>
      <x:c r="D9" t="str">
        <x:v>eta × min(Te,Tn)</x:v>
      </x:c>
    </x:row>
    <x:row r="10">
      <x:c r="A10" t="str">
        <x:v>Exposed communication</x:v>
      </x:c>
      <x:c r="B10" t="n">
        <x:f>B8-B9</x:f>
        <x:v>13.308734933333332</x:v>
      </x:c>
      <x:c r="C10" t="str">
        <x:v>ms</x:v>
      </x:c>
      <x:c r="D10" t="str">
        <x:v>Tn-overlap</x:v>
      </x:c>
    </x:row>
    <x:row r="11">
      <x:c r="A11" t="str">
        <x:v>MoE stage time</x:v>
      </x:c>
      <x:c r="B11" t="n">
        <x:f>INPUTS!B13+B10</x:f>
        <x:v>21.308734933333334</x:v>
      </x:c>
      <x:c r="C11" t="str">
        <x:v>ms</x:v>
      </x:c>
      <x:c r="D11" t="str">
        <x:v>Te+exposed</x:v>
      </x:c>
    </x:row>
    <x:row r="12">
      <x:c r="A12" t="str">
        <x:v>Compute saving budget</x:v>
      </x:c>
      <x:c r="B12" t="n">
        <x:f>INPUTS!B12-INPUTS!B13</x:f>
        <x:v>10</x:v>
      </x:c>
      <x:c r="C12" t="str">
        <x:v>ms</x:v>
      </x:c>
      <x:c r="D12" t="str">
        <x:v>Td-Te</x:v>
      </x:c>
    </x:row>
    <x:row r="13">
      <x:c r="A13" t="str">
        <x:v>Max allowable network time</x:v>
      </x:c>
      <x:c r="B13" t="n">
        <x:f>IF((INPUTS!B12-INPUTS!B13)/(1-INPUTS!B14)&lt;=INPUTS!B13,(INPUTS!B12-INPUTS!B13)/(1-INPUTS!B14),INPUTS!B12-(1-INPUTS!B14)*INPUTS!B13)</x:f>
        <x:v>12.4</x:v>
      </x:c>
      <x:c r="C13" t="str">
        <x:v>ms</x:v>
      </x:c>
      <x:c r="D13" t="str">
        <x:v>piecewise boundary</x:v>
      </x:c>
    </x:row>
    <x:row r="14">
      <x:c r="A14" t="str">
        <x:v>Break-even bandwidth</x:v>
      </x:c>
      <x:c r="B14" t="n">
        <x:f>(B7/1000000000)/((B13-INPUTS!B11)/1000)</x:f>
        <x:v>57.0561191902834</x:v>
      </x:c>
      <x:c r="C14" t="str">
        <x:v>GB/s</x:v>
      </x:c>
      <x:c r="D14" t="str">
        <x:v>D/(Tmax-startup)</x:v>
      </x:c>
    </x:row>
    <x:row r="15">
      <x:c r="A15" t="str">
        <x:v>Decision</x:v>
      </x:c>
      <x:c r="B15" t="str">
        <x:f>IF(B11&lt;INPUTS!B12,"COMMUNICATION FITS BUDGET","COMMUNICATION EXCEEDS BUDGET")</x:f>
        <x:v>COMMUNICATION EXCEEDS BUDGET</x:v>
      </x:c>
      <x:c r="C15" t="str">
        <x:v>state</x:v>
      </x:c>
      <x:c r="D15" t="str">
        <x:v>compare stage with Td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>
      <x:c r="A1" s="3" t="str">
        <x:v>SCENARIOS</x:v>
      </x:c>
    </x:row>
    <x:row r="3">
      <x:c r="A3" s="8" t="str">
        <x:v>name</x:v>
      </x:c>
      <x:c r="B3" s="8" t="str">
        <x:v>N</x:v>
      </x:c>
      <x:c r="C3" s="8" t="str">
        <x:v>H</x:v>
      </x:c>
      <x:c r="D3" s="8" t="str">
        <x:v>top_k</x:v>
      </x:c>
      <x:c r="E3" s="8" t="str">
        <x:v>E</x:v>
      </x:c>
      <x:c r="F3" s="8" t="str">
        <x:v>EP</x:v>
      </x:c>
      <x:c r="G3" s="8" t="str">
        <x:v>dispatch_bytes_per_elem</x:v>
      </x:c>
      <x:c r="H3" s="8" t="str">
        <x:v>combine_bytes_per_elem</x:v>
      </x:c>
      <x:c r="I3" s="8" t="str">
        <x:v>p_remote</x:v>
      </x:c>
      <x:c r="J3" s="8" t="str">
        <x:v>link_skew_factor</x:v>
      </x:c>
      <x:c r="K3" s="8" t="str">
        <x:v>network_payload_GB</x:v>
      </x:c>
      <x:c r="L3" s="8" t="str">
        <x:v>effective_bandwidth_GBps</x:v>
      </x:c>
      <x:c r="M3" s="8" t="str">
        <x:v>startup_ms</x:v>
      </x:c>
      <x:c r="N3" s="8" t="str">
        <x:v>network_time_ms</x:v>
      </x:c>
      <x:c r="O3" s="8" t="str">
        <x:v>expert_compute_ms</x:v>
      </x:c>
      <x:c r="P3" s="8" t="str">
        <x:v>dense_equiv_ms</x:v>
      </x:c>
      <x:c r="Q3" s="8" t="str">
        <x:v>overlap_efficiency</x:v>
      </x:c>
      <x:c r="R3" s="8" t="str">
        <x:v>overlap_ms</x:v>
      </x:c>
      <x:c r="S3" s="8" t="str">
        <x:v>exposed_comm_ms</x:v>
      </x:c>
      <x:c r="T3" s="8" t="str">
        <x:v>stage_ms</x:v>
      </x:c>
      <x:c r="U3" s="8" t="str">
        <x:v>compute_saving_budget_ms</x:v>
      </x:c>
      <x:c r="V3" s="8" t="str">
        <x:v>break_even_bandwidth_GBps</x:v>
      </x:c>
      <x:c r="W3" s="8" t="str">
        <x:v>sparse_advantage</x:v>
      </x:c>
      <x:c r="X3" s="8" t="str">
        <x:v>note</x:v>
      </x:c>
    </x:row>
    <x:row r="4">
      <x:c r="A4" s="12" t="str">
        <x:v>A — intra-node NVLink domain</x:v>
      </x:c>
      <x:c r="B4" s="12" t="n">
        <x:v>8192</x:v>
      </x:c>
      <x:c r="C4" s="12" t="n">
        <x:v>7168</x:v>
      </x:c>
      <x:c r="D4" s="12" t="n">
        <x:v>8</x:v>
      </x:c>
      <x:c r="E4" s="12" t="n">
        <x:v>256</x:v>
      </x:c>
      <x:c r="F4" s="12" t="n">
        <x:v>8</x:v>
      </x:c>
      <x:c r="G4" s="12" t="n">
        <x:v>1</x:v>
      </x:c>
      <x:c r="H4" s="12" t="n">
        <x:v>2</x:v>
      </x:c>
      <x:c r="I4" s="12" t="n">
        <x:v>0.875</x:v>
      </x:c>
      <x:c r="J4" s="12" t="n">
        <x:v>1</x:v>
      </x:c>
      <x:c r="K4" s="12" t="n">
        <x:v>1.233125376</x:v>
      </x:c>
      <x:c r="L4" s="12" t="n">
        <x:v>600</x:v>
      </x:c>
      <x:c r="M4" s="12" t="n">
        <x:v>0.02</x:v>
      </x:c>
      <x:c r="N4" s="12" t="n">
        <x:v>2.07520896</x:v>
      </x:c>
      <x:c r="O4" s="12" t="n">
        <x:v>8</x:v>
      </x:c>
      <x:c r="P4" s="12" t="n">
        <x:v>18</x:v>
      </x:c>
      <x:c r="Q4" s="12" t="n">
        <x:v>0.5</x:v>
      </x:c>
      <x:c r="R4" s="12" t="n">
        <x:v>1.03760448</x:v>
      </x:c>
      <x:c r="S4" s="12" t="n">
        <x:v>1.03760448</x:v>
      </x:c>
      <x:c r="T4" s="12" t="n">
        <x:v>9.037604479999999</x:v>
      </x:c>
      <x:c r="U4" s="12" t="n">
        <x:v>9.999999999999998</x:v>
      </x:c>
      <x:c r="V4" s="12" t="n">
        <x:v>88.20639313304721</x:v>
      </x:c>
      <x:c r="W4" s="12" t="str">
        <x:v>YES</x:v>
      </x:c>
      <x:c r="X4" s="12" t="str">
        <x:v>HOUSE bandwidth/overlap; H100 vendor NVLink spec is 900 GB/s, but sustainable application bandwidth is lower.</x:v>
      </x:c>
    </x:row>
    <x:row r="5">
      <x:c r="A5" s="12" t="str">
        <x:v>B — two nodes, one 400 Gb/s-class rail</x:v>
      </x:c>
      <x:c r="B5" s="12" t="n">
        <x:v>8192</x:v>
      </x:c>
      <x:c r="C5" s="12" t="n">
        <x:v>7168</x:v>
      </x:c>
      <x:c r="D5" s="12" t="n">
        <x:v>8</x:v>
      </x:c>
      <x:c r="E5" s="12" t="n">
        <x:v>256</x:v>
      </x:c>
      <x:c r="F5" s="12" t="n">
        <x:v>16</x:v>
      </x:c>
      <x:c r="G5" s="12" t="n">
        <x:v>1</x:v>
      </x:c>
      <x:c r="H5" s="12" t="n">
        <x:v>2</x:v>
      </x:c>
      <x:c r="I5" s="12" t="n">
        <x:v>0.5</x:v>
      </x:c>
      <x:c r="J5" s="12" t="n">
        <x:v>1</x:v>
      </x:c>
      <x:c r="K5" s="12" t="n">
        <x:v>0.704643072</x:v>
      </x:c>
      <x:c r="L5" s="12" t="n">
        <x:v>45</x:v>
      </x:c>
      <x:c r="M5" s="12" t="n">
        <x:v>0.05</x:v>
      </x:c>
      <x:c r="N5" s="12" t="n">
        <x:v>15.708734933333336</x:v>
      </x:c>
      <x:c r="O5" s="12" t="n">
        <x:v>8</x:v>
      </x:c>
      <x:c r="P5" s="12" t="n">
        <x:v>18</x:v>
      </x:c>
      <x:c r="Q5" s="12" t="n">
        <x:v>0.3</x:v>
      </x:c>
      <x:c r="R5" s="12" t="n">
        <x:v>2.4</x:v>
      </x:c>
      <x:c r="S5" s="12" t="n">
        <x:v>13.308734933333337</x:v>
      </x:c>
      <x:c r="T5" s="12" t="n">
        <x:v>21.308734933333337</x:v>
      </x:c>
      <x:c r="U5" s="12" t="n">
        <x:v>9.999999999999998</x:v>
      </x:c>
      <x:c r="V5" s="12" t="n">
        <x:v>57.05611919028341</x:v>
      </x:c>
      <x:c r="W5" s="12" t="str">
        <x:v>NO</x:v>
      </x:c>
      <x:c r="X5" s="12" t="str">
        <x:v>HOUSE effective bandwidth = 45 GB/s, below nominal 50 GB/s conversion of 400 Gb/s.</x:v>
      </x:c>
    </x:row>
    <x:row r="6">
      <x:c r="A6" s="12" t="str">
        <x:v>C — cross-node plus routing/link skew</x:v>
      </x:c>
      <x:c r="B6" s="12" t="n">
        <x:v>8192</x:v>
      </x:c>
      <x:c r="C6" s="12" t="n">
        <x:v>7168</x:v>
      </x:c>
      <x:c r="D6" s="12" t="n">
        <x:v>8</x:v>
      </x:c>
      <x:c r="E6" s="12" t="n">
        <x:v>256</x:v>
      </x:c>
      <x:c r="F6" s="12" t="n">
        <x:v>16</x:v>
      </x:c>
      <x:c r="G6" s="12" t="n">
        <x:v>1</x:v>
      </x:c>
      <x:c r="H6" s="12" t="n">
        <x:v>2</x:v>
      </x:c>
      <x:c r="I6" s="12" t="n">
        <x:v>0.5</x:v>
      </x:c>
      <x:c r="J6" s="12" t="n">
        <x:v>1.5</x:v>
      </x:c>
      <x:c r="K6" s="12" t="n">
        <x:v>1.056964608</x:v>
      </x:c>
      <x:c r="L6" s="12" t="n">
        <x:v>45</x:v>
      </x:c>
      <x:c r="M6" s="12" t="n">
        <x:v>0.05</x:v>
      </x:c>
      <x:c r="N6" s="12" t="n">
        <x:v>23.5381024</x:v>
      </x:c>
      <x:c r="O6" s="12" t="n">
        <x:v>8</x:v>
      </x:c>
      <x:c r="P6" s="12" t="n">
        <x:v>18</x:v>
      </x:c>
      <x:c r="Q6" s="12" t="n">
        <x:v>0.3</x:v>
      </x:c>
      <x:c r="R6" s="12" t="n">
        <x:v>2.4</x:v>
      </x:c>
      <x:c r="S6" s="12" t="n">
        <x:v>21.1381024</x:v>
      </x:c>
      <x:c r="T6" s="12" t="n">
        <x:v>29.1381024</x:v>
      </x:c>
      <x:c r="U6" s="12" t="n">
        <x:v>9.999999999999998</x:v>
      </x:c>
      <x:c r="V6" s="12" t="n">
        <x:v>85.58417878542511</x:v>
      </x:c>
      <x:c r="W6" s="12" t="str">
        <x:v>NO</x:v>
      </x:c>
      <x:c r="X6" s="12" t="str">
        <x:v>HOUSE 1.5× bottleneck-link concentration; total logical bytes are not 1.5×, only critical-link work is.</x:v>
      </x:c>
    </x:row>
    <x:row r="7">
      <x:c r="A7" s="12" t="str">
        <x:v>D — wider/top-16 cross-node</x:v>
      </x:c>
      <x:c r="B7" s="12" t="n">
        <x:v>8192</x:v>
      </x:c>
      <x:c r="C7" s="12" t="n">
        <x:v>8192</x:v>
      </x:c>
      <x:c r="D7" s="12" t="n">
        <x:v>16</x:v>
      </x:c>
      <x:c r="E7" s="12" t="n">
        <x:v>256</x:v>
      </x:c>
      <x:c r="F7" s="12" t="n">
        <x:v>32</x:v>
      </x:c>
      <x:c r="G7" s="12" t="n">
        <x:v>2</x:v>
      </x:c>
      <x:c r="H7" s="12" t="n">
        <x:v>2</x:v>
      </x:c>
      <x:c r="I7" s="12" t="n">
        <x:v>0.75</x:v>
      </x:c>
      <x:c r="J7" s="12" t="n">
        <x:v>1</x:v>
      </x:c>
      <x:c r="K7" s="12" t="n">
        <x:v>3.221225472</x:v>
      </x:c>
      <x:c r="L7" s="12" t="n">
        <x:v>90</x:v>
      </x:c>
      <x:c r="M7" s="12" t="n">
        <x:v>0.07</x:v>
      </x:c>
      <x:c r="N7" s="12" t="n">
        <x:v>35.861394133333334</x:v>
      </x:c>
      <x:c r="O7" s="12" t="n">
        <x:v>12</x:v>
      </x:c>
      <x:c r="P7" s="12" t="n">
        <x:v>28</x:v>
      </x:c>
      <x:c r="Q7" s="12" t="n">
        <x:v>0.5</x:v>
      </x:c>
      <x:c r="R7" s="12" t="n">
        <x:v>6</x:v>
      </x:c>
      <x:c r="S7" s="12" t="n">
        <x:v>29.861394133333338</x:v>
      </x:c>
      <x:c r="T7" s="12" t="n">
        <x:v>41.86139413333334</x:v>
      </x:c>
      <x:c r="U7" s="12" t="n">
        <x:v>16</x:v>
      </x:c>
      <x:c r="V7" s="12" t="n">
        <x:v>146.88670642954858</x:v>
      </x:c>
      <x:c r="W7" s="12" t="str">
        <x:v>NO</x:v>
      </x:c>
      <x:c r="X7" s="12" t="str">
        <x:v>HOUSE model shape and dual-rail-like effective bandwidth; intended to show top-k/H/precision scaling.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TOPK</x:v>
      </x:c>
    </x:row>
    <x:row r="3">
      <x:c r="A3" s="8" t="str">
        <x:v>top_k</x:v>
      </x:c>
      <x:c r="B3" s="8" t="str">
        <x:v>remote_payload_GB</x:v>
      </x:c>
      <x:c r="C3" s="8" t="str">
        <x:v>time_at_45_GBps_ms</x:v>
      </x:c>
      <x:c r="D3" s="8" t="str">
        <x:v>time_at_90_GBps_ms</x:v>
      </x:c>
    </x:row>
    <x:row r="4">
      <x:c r="A4" s="12" t="n">
        <x:v>1</x:v>
      </x:c>
      <x:c r="B4" s="12" t="n">
        <x:v>0.088080384</x:v>
      </x:c>
      <x:c r="C4" s="12" t="n">
        <x:v>1.9573418666666669</x:v>
      </x:c>
      <x:c r="D4" s="12" t="n">
        <x:v>0.9786709333333334</x:v>
      </x:c>
    </x:row>
    <x:row r="5">
      <x:c r="A5" s="12" t="n">
        <x:v>2</x:v>
      </x:c>
      <x:c r="B5" s="12" t="n">
        <x:v>0.176160768</x:v>
      </x:c>
      <x:c r="C5" s="12" t="n">
        <x:v>3.9146837333333337</x:v>
      </x:c>
      <x:c r="D5" s="12" t="n">
        <x:v>1.9573418666666669</x:v>
      </x:c>
    </x:row>
    <x:row r="6">
      <x:c r="A6" s="12" t="n">
        <x:v>4</x:v>
      </x:c>
      <x:c r="B6" s="12" t="n">
        <x:v>0.352321536</x:v>
      </x:c>
      <x:c r="C6" s="12" t="n">
        <x:v>7.8293674666666675</x:v>
      </x:c>
      <x:c r="D6" s="12" t="n">
        <x:v>3.9146837333333337</x:v>
      </x:c>
    </x:row>
    <x:row r="7">
      <x:c r="A7" s="12" t="n">
        <x:v>8</x:v>
      </x:c>
      <x:c r="B7" s="12" t="n">
        <x:v>0.704643072</x:v>
      </x:c>
      <x:c r="C7" s="12" t="n">
        <x:v>15.658734933333335</x:v>
      </x:c>
      <x:c r="D7" s="12" t="n">
        <x:v>7.8293674666666675</x:v>
      </x:c>
    </x:row>
    <x:row r="8">
      <x:c r="A8" s="12" t="n">
        <x:v>16</x:v>
      </x:c>
      <x:c r="B8" s="12" t="n">
        <x:v>1.409286144</x:v>
      </x:c>
      <x:c r="C8" s="12" t="n">
        <x:v>31.31746986666667</x:v>
      </x:c>
      <x:c r="D8" s="12" t="n">
        <x:v>15.658734933333335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" t="str">
        <x:v>BREAK_EVEN</x:v>
      </x:c>
    </x:row>
    <x:row r="3">
      <x:c r="A3" s="8" t="str">
        <x:v>overlap_efficiency</x:v>
      </x:c>
      <x:c r="B3" s="8" t="str">
        <x:v>max_network_time_ms</x:v>
      </x:c>
      <x:c r="C3" s="8" t="str">
        <x:v>remote_payload_GB</x:v>
      </x:c>
      <x:c r="D3" s="8" t="str">
        <x:v>break_even_bandwidth_GBps</x:v>
      </x:c>
    </x:row>
    <x:row r="4">
      <x:c r="A4" s="12" t="n">
        <x:v>0</x:v>
      </x:c>
      <x:c r="B4" s="12" t="n">
        <x:v>9.999999999999998</x:v>
      </x:c>
      <x:c r="C4" s="12" t="n">
        <x:v>0.704643072</x:v>
      </x:c>
      <x:c r="D4" s="12" t="n">
        <x:v>70.81839919597991</x:v>
      </x:c>
    </x:row>
    <x:row r="5">
      <x:c r="A5" s="12" t="n">
        <x:v>0.25</x:v>
      </x:c>
      <x:c r="B5" s="12" t="n">
        <x:v>11.999999999999998</x:v>
      </x:c>
      <x:c r="C5" s="12" t="n">
        <x:v>0.704643072</x:v>
      </x:c>
      <x:c r="D5" s="12" t="n">
        <x:v>58.96594744769875</x:v>
      </x:c>
    </x:row>
    <x:row r="6">
      <x:c r="A6" s="12" t="n">
        <x:v>0.5</x:v>
      </x:c>
      <x:c r="B6" s="12" t="n">
        <x:v>13.999999999999998</x:v>
      </x:c>
      <x:c r="C6" s="12" t="n">
        <x:v>0.704643072</x:v>
      </x:c>
      <x:c r="D6" s="12" t="n">
        <x:v>50.512048172043016</x:v>
      </x:c>
    </x:row>
    <x:row r="7">
      <x:c r="A7" s="12" t="n">
        <x:v>0.75</x:v>
      </x:c>
      <x:c r="B7" s="12" t="n">
        <x:v>16</x:v>
      </x:c>
      <x:c r="C7" s="12" t="n">
        <x:v>0.704643072</x:v>
      </x:c>
      <x:c r="D7" s="12" t="n">
        <x:v>44.17824902821317</x:v>
      </x:c>
    </x:row>
    <x:row r="8">
      <x:c r="A8" s="12" t="n">
        <x:v>0.9</x:v>
      </x:c>
      <x:c r="B8" s="12" t="n">
        <x:v>17.2</x:v>
      </x:c>
      <x:c r="C8" s="12" t="n">
        <x:v>0.704643072</x:v>
      </x:c>
      <x:c r="D8" s="12" t="n">
        <x:v>41.08705959183674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" t="str">
        <x:v>ROUTING_SKEW</x:v>
      </x:c>
    </x:row>
    <x:row r="3">
      <x:c r="A3" s="8" t="str">
        <x:v>load_imbalance_I</x:v>
      </x:c>
      <x:c r="B3" s="8" t="str">
        <x:v>mean_assignments_per_expert</x:v>
      </x:c>
      <x:c r="C3" s="8" t="str">
        <x:v>busiest_expert_assignments</x:v>
      </x:c>
      <x:c r="D3" s="8" t="str">
        <x:v>normalized_critical_link_work</x:v>
      </x:c>
    </x:row>
    <x:row r="4">
      <x:c r="A4" s="12" t="n">
        <x:v>1</x:v>
      </x:c>
      <x:c r="B4" s="12" t="n">
        <x:v>256</x:v>
      </x:c>
      <x:c r="C4" s="12" t="n">
        <x:v>256</x:v>
      </x:c>
      <x:c r="D4" s="12" t="n">
        <x:v>1</x:v>
      </x:c>
    </x:row>
    <x:row r="5">
      <x:c r="A5" s="12" t="n">
        <x:v>1.25</x:v>
      </x:c>
      <x:c r="B5" s="12" t="n">
        <x:v>256</x:v>
      </x:c>
      <x:c r="C5" s="12" t="n">
        <x:v>320</x:v>
      </x:c>
      <x:c r="D5" s="12" t="n">
        <x:v>1.25</x:v>
      </x:c>
    </x:row>
    <x:row r="6">
      <x:c r="A6" s="12" t="n">
        <x:v>1.5</x:v>
      </x:c>
      <x:c r="B6" s="12" t="n">
        <x:v>256</x:v>
      </x:c>
      <x:c r="C6" s="12" t="n">
        <x:v>384</x:v>
      </x:c>
      <x:c r="D6" s="12" t="n">
        <x:v>1.5</x:v>
      </x:c>
    </x:row>
    <x:row r="7">
      <x:c r="A7" s="12" t="n">
        <x:v>2</x:v>
      </x:c>
      <x:c r="B7" s="12" t="n">
        <x:v>256</x:v>
      </x:c>
      <x:c r="C7" s="12" t="n">
        <x:v>512</x:v>
      </x:c>
      <x:c r="D7" s="12" t="n">
        <x:v>2</x:v>
      </x:c>
    </x:row>
    <x:row r="8">
      <x:c r="A8" s="12" t="n">
        <x:v>3</x:v>
      </x:c>
      <x:c r="B8" s="12" t="n">
        <x:v>256</x:v>
      </x:c>
      <x:c r="C8" s="12" t="n">
        <x:v>768</x:v>
      </x:c>
      <x:c r="D8" s="12" t="n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8" hidden="0" customWidth="1"/>
    <x:col min="5" max="5" width="16" hidden="0" customWidth="1"/>
    <x:col min="6" max="6" width="60" hidden="0" customWidth="1"/>
  </x:cols>
  <x:sheetData>
    <x:row r="1">
      <x:c r="A1" s="3" t="str">
        <x:v>TOPOLOGY</x:v>
      </x:c>
    </x:row>
    <x:row r="3">
      <x:c r="A3" s="8" t="str">
        <x:v>level</x:v>
      </x:c>
      <x:c r="B3" s="8" t="str">
        <x:v>vendor_rate</x:v>
      </x:c>
      <x:c r="C3" s="8" t="str">
        <x:v>nominal_GBps</x:v>
      </x:c>
      <x:c r="D3" s="8" t="str">
        <x:v>status</x:v>
      </x:c>
      <x:c r="E3" s="8" t="str">
        <x:v>source_id</x:v>
      </x:c>
      <x:c r="F3" s="8" t="str">
        <x:v>caveat</x:v>
      </x:c>
    </x:row>
    <x:row r="4">
      <x:c r="A4" s="12" t="str">
        <x:v>H100 SXM NVLink</x:v>
      </x:c>
      <x:c r="B4" s="12" t="str">
        <x:v>900 GB/s</x:v>
      </x:c>
      <x:c r="C4" s="12" t="n">
        <x:v>900</x:v>
      </x:c>
      <x:c r="D4" s="12" t="str">
        <x:v>SOURCE SPEC</x:v>
      </x:c>
      <x:c r="E4" s="12" t="str">
        <x:v>S05</x:v>
      </x:c>
      <x:c r="F4" s="12" t="str">
        <x:v>Per-GPU interconnect specification; not all-to-all application bandwidth.</x:v>
      </x:c>
    </x:row>
    <x:row r="5">
      <x:c r="A5" s="12" t="str">
        <x:v>ConnectX-7 NDR</x:v>
      </x:c>
      <x:c r="B5" s="12" t="str">
        <x:v>400 Gb/s</x:v>
      </x:c>
      <x:c r="C5" s="12" t="n">
        <x:v>50</x:v>
      </x:c>
      <x:c r="D5" s="12" t="str">
        <x:v>SOURCE SPEC + unit conversion</x:v>
      </x:c>
      <x:c r="E5" s="12" t="str">
        <x:v>S06</x:v>
      </x:c>
      <x:c r="F5" s="12" t="str">
        <x:v>Nominal port rate; protocol/topology/contention reduce useful payload bandwidth.</x:v>
      </x:c>
    </x:row>
    <x:row r="6">
      <x:c r="A6" s="12" t="str">
        <x:v>ConnectX-8</x:v>
      </x:c>
      <x:c r="B6" s="12" t="str">
        <x:v>800 Gb/s</x:v>
      </x:c>
      <x:c r="C6" s="12" t="n">
        <x:v>100</x:v>
      </x:c>
      <x:c r="D6" s="12" t="str">
        <x:v>SOURCE SPEC + unit conversion</x:v>
      </x:c>
      <x:c r="E6" s="12" t="str">
        <x:v>S06</x:v>
      </x:c>
      <x:c r="F6" s="12" t="str">
        <x:v>Nominal throughput; not an application collective measurement.</x:v>
      </x:c>
    </x:row>
    <x:row r="7">
      <x:c r="A7" s="12" t="str">
        <x:v>DeepEP SM90 CX7 EP8x2 dispatch</x:v>
      </x:c>
      <x:c r="B7" s="12" t="str">
        <x:v>90 GB/s logical</x:v>
      </x:c>
      <x:c r="C7" s="12" t="n">
        <x:v>90</x:v>
      </x:c>
      <x:c r="D7" s="12" t="str">
        <x:v>MEASURED LOGICAL BANDWIDTH</x:v>
      </x:c>
      <x:c r="E7" s="12" t="str">
        <x:v>S03</x:v>
      </x:c>
      <x:c r="F7" s="12" t="str">
        <x:v>DeepEP explicitly notes logical bandwidth includes local-rank traffic.</x:v>
      </x:c>
    </x:row>
    <x:row r="8">
      <x:c r="A8" s="12" t="str">
        <x:v>DeepEP SM90 CX7 EP8x2 combine</x:v>
      </x:c>
      <x:c r="B8" s="12" t="str">
        <x:v>81 GB/s logical</x:v>
      </x:c>
      <x:c r="C8" s="12" t="n">
        <x:v>81</x:v>
      </x:c>
      <x:c r="D8" s="12" t="str">
        <x:v>MEASURED LOGICAL BANDWIDTH</x:v>
      </x:c>
      <x:c r="E8" s="12" t="str">
        <x:v>S03</x:v>
      </x:c>
      <x:c r="F8" s="12" t="str">
        <x:v>Not directly comparable to raw NIC line rate.</x:v>
      </x:c>
    </x:row>
    <x:row r="9">
      <x:c r="A9" s="12" t="str">
        <x:v>DeepEP SM100 NVLink EP8 dispatch</x:v>
      </x:c>
      <x:c r="B9" s="12" t="str">
        <x:v>726 GB/s logical</x:v>
      </x:c>
      <x:c r="C9" s="12" t="n">
        <x:v>726</x:v>
      </x:c>
      <x:c r="D9" s="12" t="str">
        <x:v>MEASURED LOGICAL BANDWIDTH</x:v>
      </x:c>
      <x:c r="E9" s="12" t="str">
        <x:v>S03</x:v>
      </x:c>
      <x:c r="F9" s="12" t="str">
        <x:v>SM100 NVLink configuration, not H100.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3" t="str">
        <x:v>BENCHMARKS</x:v>
      </x:c>
    </x:row>
    <x:row r="3">
      <x:c r="A3" s="8" t="str">
        <x:v>source_id</x:v>
      </x:c>
      <x:c r="B3" s="8" t="str">
        <x:v>date_version</x:v>
      </x:c>
      <x:c r="C3" s="8" t="str">
        <x:v>model</x:v>
      </x:c>
      <x:c r="D3" s="8" t="str">
        <x:v>GPU_count</x:v>
      </x:c>
      <x:c r="E3" s="8" t="str">
        <x:v>GPU_type</x:v>
      </x:c>
      <x:c r="F3" s="8" t="str">
        <x:v>network</x:v>
      </x:c>
      <x:c r="G3" s="8" t="str">
        <x:v>EP</x:v>
      </x:c>
      <x:c r="H3" s="8" t="str">
        <x:v>TP</x:v>
      </x:c>
      <x:c r="I3" s="8" t="str">
        <x:v>PP</x:v>
      </x:c>
      <x:c r="J3" s="8" t="str">
        <x:v>tokens_batch</x:v>
      </x:c>
      <x:c r="K3" s="8" t="str">
        <x:v>top_k</x:v>
      </x:c>
      <x:c r="L3" s="8" t="str">
        <x:v>result</x:v>
      </x:c>
      <x:c r="M3" s="8" t="str">
        <x:v>communication_share</x:v>
      </x:c>
      <x:c r="N3" s="8" t="str">
        <x:v>optimization</x:v>
      </x:c>
      <x:c r="O3" s="8" t="str">
        <x:v>caveat</x:v>
      </x:c>
    </x:row>
    <x:row r="4">
      <x:c r="A4" s="12" t="str">
        <x:v>S01</x:v>
      </x:c>
      <x:c r="B4" s="12" t="str">
        <x:v>Megatron Core 0.17.0</x:v>
      </x:c>
      <x:c r="C4" s="12" t="str">
        <x:v>not specified</x:v>
      </x:c>
      <x:c r="D4" s="12" t="str">
        <x:v>not specified</x:v>
      </x:c>
      <x:c r="E4" s="12" t="str">
        <x:v>not specified</x:v>
      </x:c>
      <x:c r="F4" s="12" t="str">
        <x:v>not specified</x:v>
      </x:c>
      <x:c r="G4" s="12" t="str">
        <x:v>not specified</x:v>
      </x:c>
      <x:c r="H4" s="12" t="str">
        <x:v>not specified</x:v>
      </x:c>
      <x:c r="I4" s="12" t="str">
        <x:v>not specified</x:v>
      </x:c>
      <x:c r="J4" s="12" t="str">
        <x:v>not specified</x:v>
      </x:c>
      <x:c r="K4" s="12" t="str">
        <x:v>not specified</x:v>
      </x:c>
      <x:c r="L4" s="12" t="str">
        <x:v>EP All-to-All can consume 30–40% of training time without optimization</x:v>
      </x:c>
      <x:c r="M4" s="12" t="str">
        <x:v>30–40% vendor guidance</x:v>
      </x:c>
      <x:c r="N4" s="12" t="str">
        <x:v>A2A overlap / shared expert overlap</x:v>
      </x:c>
      <x:c r="O4" s="12" t="str">
        <x:v>No named workload/config attached on page; do not generalize as universal measured share.</x:v>
      </x:c>
    </x:row>
    <x:row r="5">
      <x:c r="A5" s="12" t="str">
        <x:v>S02</x:v>
      </x:c>
      <x:c r="B5" s="12" t="str">
        <x:v>current docs; benchmark dated 2026-05-18</x:v>
      </x:c>
      <x:c r="C5" s="12" t="str">
        <x:v>Qwen3 30B-A3B mock-data SFT</x:v>
      </x:c>
      <x:c r="D5" s="12" t="n">
        <x:v>16</x:v>
      </x:c>
      <x:c r="E5" s="12" t="str">
        <x:v>H100</x:v>
      </x:c>
      <x:c r="F5" s="12" t="str">
        <x:v>inter-node alltoall</x:v>
      </x:c>
      <x:c r="G5" s="12" t="n">
        <x:v>16</x:v>
      </x:c>
      <x:c r="H5" s="12" t="str">
        <x:v>not stated in cited excerpt</x:v>
      </x:c>
      <x:c r="I5" s="12" t="str">
        <x:v>not stated in cited excerpt</x:v>
      </x:c>
      <x:c r="J5" s="12" t="str">
        <x:v>global batch 1024</x:v>
      </x:c>
      <x:c r="K5" s="12" t="str">
        <x:v>model-dependent; not stated in excerpt</x:v>
      </x:c>
      <x:c r="L5" s="12" t="str">
        <x:v>41.25s no EP overlap → 31.31s EP overlap</x:v>
      </x:c>
      <x:c r="M5" s="12" t="str">
        <x:v>overlap concurrent with GEMM/attention rose to 36.55% of communication time</x:v>
      </x:c>
      <x:c r="N5" s="12" t="str">
        <x:v>plain EP overlap</x:v>
      </x:c>
      <x:c r="O5" s="12" t="str">
        <x:v>Short current-main benchmark; workload-sensitive; not universal.</x:v>
      </x:c>
    </x:row>
    <x:row r="6">
      <x:c r="A6" s="12" t="str">
        <x:v>S03</x:v>
      </x:c>
      <x:c r="B6" s="12" t="str">
        <x:v>DeepEP V2 current README</x:v>
      </x:c>
      <x:c r="C6" s="12" t="str">
        <x:v>V3-like config</x:v>
      </x:c>
      <x:c r="D6" s="12" t="str">
        <x:v>EP8x2 / EP8x4 / EP8</x:v>
      </x:c>
      <x:c r="E6" s="12" t="str">
        <x:v>SM90 or SM100</x:v>
      </x:c>
      <x:c r="F6" s="12" t="str">
        <x:v>CX7 RDMA or NVLink</x:v>
      </x:c>
      <x:c r="G6" s="12" t="str">
        <x:v>8x2 / 8x4 / 8</x:v>
      </x:c>
      <x:c r="H6" s="12" t="str">
        <x:v>N/A</x:v>
      </x:c>
      <x:c r="I6" s="12" t="str">
        <x:v>N/A</x:v>
      </x:c>
      <x:c r="J6" s="12" t="n">
        <x:v>8192</x:v>
      </x:c>
      <x:c r="K6" s="12" t="n">
        <x:v>8</x:v>
      </x:c>
      <x:c r="L6" s="12" t="str">
        <x:v>90/81 GB/s EP8x2; 61/61 EP8x4; 726/740 GB/s SM100 NVLink dispatch/combine</x:v>
      </x:c>
      <x:c r="M6" s="12" t="str">
        <x:v>N/A</x:v>
      </x:c>
      <x:c r="N6" s="12" t="str">
        <x:v>DeepEP V2</x:v>
      </x:c>
      <x:c r="O6" s="12" t="str">
        <x:v>Logical bandwidth. Cross-config results not directly comparable.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0" hidden="0" customWidth="1"/>
    <x:col min="5" max="5" width="70" hidden="0" customWidth="1"/>
    <x:col min="6" max="6" width="90" hidden="0" customWidth="1"/>
  </x:cols>
  <x:sheetData>
    <x:row r="1">
      <x:c r="A1" s="3" t="str">
        <x:v>SOURCES</x:v>
      </x:c>
    </x:row>
    <x:row r="3">
      <x:c r="A3" s="8" t="str">
        <x:v>id</x:v>
      </x:c>
      <x:c r="B3" s="8" t="str">
        <x:v>org</x:v>
      </x:c>
      <x:c r="C3" s="8" t="str">
        <x:v>title</x:v>
      </x:c>
      <x:c r="D3" s="8" t="str">
        <x:v>date</x:v>
      </x:c>
      <x:c r="E3" s="8" t="str">
        <x:v>url</x:v>
      </x:c>
      <x:c r="F3" s="8" t="str">
        <x:v>fact</x:v>
      </x:c>
    </x:row>
    <x:row r="4">
      <x:c r="A4" s="12" t="str">
        <x:v>S01</x:v>
      </x:c>
      <x:c r="B4" s="12" t="str">
        <x:v>NVIDIA</x:v>
      </x:c>
      <x:c r="C4" s="12" t="str">
        <x:v>Megatron Core 0.17.0 — Mixture of Experts</x:v>
      </x:c>
      <x:c r="D4" s="12" t="str">
        <x:v>accessed 2026-08-11</x:v>
      </x:c>
      <x:c r="E4" s="12" t="str">
        <x:v>https://docs.nvidia.com/megatron-core/developer-guide/0.17.0/user-guide/features/moe.html</x:v>
      </x:c>
      <x:c r="F4" s="12" t="str">
        <x:v>Current MoE execution/dispatch guidance; EP all-to-all can consume 30–40% of training time without optimization; FP8 dispatch can cut EP dispatch volume by 50%; keep EP×TP within NVLink domain where possible.</x:v>
      </x:c>
    </x:row>
    <x:row r="5">
      <x:c r="A5" s="12" t="str">
        <x:v>S02</x:v>
      </x:c>
      <x:c r="B5" s="12" t="str">
        <x:v>NVIDIA</x:v>
      </x:c>
      <x:c r="C5" s="12" t="str">
        <x:v>Megatron Bridge — Communication Overlap</x:v>
      </x:c>
      <x:c r="D5" s="12" t="str">
        <x:v>accessed 2026-08-11</x:v>
      </x:c>
      <x:c r="E5" s="12" t="str">
        <x:v>https://docs.nvidia.com/nemo/megatron-bridge/latest/training/communication-overlap.html</x:v>
      </x:c>
      <x:c r="F5" s="12" t="str">
        <x:v>EP overlap hides token dispatch/combine under expert compute; measured Qwen3 30B-A3B EP16 H100 run improved step time from 41.25s to 31.31s.</x:v>
      </x:c>
    </x:row>
    <x:row r="6">
      <x:c r="A6" s="12" t="str">
        <x:v>S03</x:v>
      </x:c>
      <x:c r="B6" s="12" t="str">
        <x:v>DeepSeek</x:v>
      </x:c>
      <x:c r="C6" s="12" t="str">
        <x:v>DeepEP repository</x:v>
      </x:c>
      <x:c r="D6" s="12" t="str">
        <x:v>accessed 2026-08-11</x:v>
      </x:c>
      <x:c r="E6" s="12" t="str">
        <x:v>https://github.com/deepseek-ai/DeepEP</x:v>
      </x:c>
      <x:c r="F6" s="12" t="str">
        <x:v>V2 EP dispatch/combine benchmark: V3-like 8K tokens, H=7168, top-8, FP8 dispatch, BF16 combine; reports logical bottleneck bandwidth for NVLink and CX7/RDMA configurations.</x:v>
      </x:c>
    </x:row>
    <x:row r="7">
      <x:c r="A7" s="12" t="str">
        <x:v>S04</x:v>
      </x:c>
      <x:c r="B7" s="12" t="str">
        <x:v>NVIDIA</x:v>
      </x:c>
      <x:c r="C7" s="12" t="str">
        <x:v>NCCL 2.30.7 documentation</x:v>
      </x:c>
      <x:c r="D7" s="12" t="str">
        <x:v>accessed 2026-08-11</x:v>
      </x:c>
      <x:c r="E7" s="12" t="str">
        <x:v>https://docs.nvidia.com/deeplearning/nccl/user-guide/docs/index.html</x:v>
      </x:c>
      <x:c r="F7" s="12" t="str">
        <x:v>Current NCCL includes topology-aware collective and point-to-point primitives including AlltoAll.</x:v>
      </x:c>
    </x:row>
    <x:row r="8">
      <x:c r="A8" s="12" t="str">
        <x:v>S05</x:v>
      </x:c>
      <x:c r="B8" s="12" t="str">
        <x:v>NVIDIA</x:v>
      </x:c>
      <x:c r="C8" s="12" t="str">
        <x:v>H100 GPU product specifications</x:v>
      </x:c>
      <x:c r="D8" s="12" t="str">
        <x:v>accessed 2026-08-11</x:v>
      </x:c>
      <x:c r="E8" s="12" t="str">
        <x:v>https://www.nvidia.com/en-us/data-center/h100/</x:v>
      </x:c>
      <x:c r="F8" s="12" t="str">
        <x:v>H100 SXM lists fourth-generation NVLink at 900 GB/s GPU-to-GPU interconnect; this is vendor interconnect specification, not application-level all-to-all bandwidth.</x:v>
      </x:c>
    </x:row>
    <x:row r="9">
      <x:c r="A9" s="12" t="str">
        <x:v>S06</x:v>
      </x:c>
      <x:c r="B9" s="12" t="str">
        <x:v>NVIDIA</x:v>
      </x:c>
      <x:c r="C9" s="12" t="str">
        <x:v>ConnectX-7 InfiniBand adapters</x:v>
      </x:c>
      <x:c r="D9" s="12" t="str">
        <x:v>accessed 2026-08-11</x:v>
      </x:c>
      <x:c r="E9" s="12" t="str">
        <x:v>https://www.nvidia.com/en-us/networking/infiniband-adapters/</x:v>
      </x:c>
      <x:c r="F9" s="12" t="str">
        <x:v>ConnectX-7 up to 400 Gb/s; ConnectX-8 up to 800 Gb/s; units are bits/s and require /8 conversion for nominal GB/s.</x:v>
      </x:c>
    </x:row>
    <x:row r="10">
      <x:c r="A10" s="12" t="str">
        <x:v>S07</x:v>
      </x:c>
      <x:c r="B10" s="12" t="str">
        <x:v>DeepSeek</x:v>
      </x:c>
      <x:c r="C10" s="12" t="str">
        <x:v>DeepSeek-V3 config.json</x:v>
      </x:c>
      <x:c r="D10" s="12" t="str">
        <x:v>accessed 2026-08-11</x:v>
      </x:c>
      <x:c r="E10" s="12" t="str">
        <x:v>https://huggingface.co/deepseek-ai/DeepSeek-V3/blob/main/config.json</x:v>
      </x:c>
      <x:c r="F10" s="12" t="str">
        <x:v>Source-backed configuration: hidden_size 7168, 256 routed experts, 1 shared expert, 8 experts per token, 61 hidden layers, first 3 dense.</x:v>
      </x:c>
    </x:row>
    <x:row r="11">
      <x:c r="A11" s="12" t="str">
        <x:v>S08</x:v>
      </x:c>
      <x:c r="B11" s="12" t="str">
        <x:v>DeepSeek-AI</x:v>
      </x:c>
      <x:c r="C11" s="12" t="str">
        <x:v>DeepSeek-V3 Technical Report</x:v>
      </x:c>
      <x:c r="D11" s="12" t="str">
        <x:v>2024-12-27</x:v>
      </x:c>
      <x:c r="E11" s="12" t="str">
        <x:v>https://arxiv.org/abs/2412.19437</x:v>
      </x:c>
      <x:c r="F11" s="12" t="str">
        <x:v>DeepSeek-V3: 671B total parameters, 37B activated/token, trained on 2,048 H800 GPUs.</x:v>
      </x:c>
    </x:row>
    <x:row r="12">
      <x:c r="A12" s="12" t="str">
        <x:v>S09</x:v>
      </x:c>
      <x:c r="B12" s="12" t="str">
        <x:v>vLLM</x:v>
      </x:c>
      <x:c r="C12" s="12" t="str">
        <x:v>Expert Parallel Deployment</x:v>
      </x:c>
      <x:c r="D12" s="12" t="str">
        <x:v>accessed 2026-08-11</x:v>
      </x:c>
      <x:c r="E12" s="12" t="str">
        <x:v>https://docs.vllm.ai/en/latest/serving/expert_parallel_deployment/</x:v>
      </x:c>
      <x:c r="F12" s="12" t="str">
        <x:v>Inference EP distinguishes high-throughput multi-node prefill and low-latency multi-node decode backends; supports multiple all-to-all backends.</x:v>
      </x:c>
    </x:row>
    <x:row r="13">
      <x:c r="A13" s="12" t="str">
        <x:v>S10</x:v>
      </x:c>
      <x:c r="B13" s="12" t="str">
        <x:v>NVIDIA/Research authors</x:v>
      </x:c>
      <x:c r="C13" s="12" t="str">
        <x:v>NCCL EP: Towards a Unified Expert Parallel Communication API for NCCL</x:v>
      </x:c>
      <x:c r="D13" s="12" t="str">
        <x:v>2026-03-13</x:v>
      </x:c>
      <x:c r="E13" s="12" t="str">
        <x:v>https://arxiv.org/abs/2603.13606</x:v>
      </x:c>
      <x:c r="F13" s="12" t="str">
        <x:v>Separates low-latency mode for small decode batches from high-throughput hierarchical mode for 4096+ token prefill/training batches.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4" hidden="0" customWidth="1"/>
    <x:col min="4" max="4" width="34" hidden="0" customWidth="1"/>
    <x:col min="5" max="5" width="50" hidden="0" customWidth="1"/>
  </x:cols>
  <x:sheetData>
    <x:row r="1">
      <x:c r="A1" s="3" t="str">
        <x:v>CLIENT_INPUT</x:v>
      </x:c>
    </x:row>
    <x:row r="3">
      <x:c r="A3" s="8" t="str">
        <x:v>Field</x:v>
      </x:c>
      <x:c r="B3" s="8" t="str">
        <x:v>Value</x:v>
      </x:c>
      <x:c r="C3" s="8" t="str">
        <x:v>Unit / format</x:v>
      </x:c>
      <x:c r="D3" s="8" t="str">
        <x:v>Source / measurement</x:v>
      </x:c>
      <x:c r="E3" s="8" t="str">
        <x:v>Notes</x:v>
      </x:c>
    </x:row>
    <x:row r="4">
      <x:c r="A4" s="12" t="str">
        <x:v>model</x:v>
      </x:c>
      <x:c r="B4" s="12" t="str"/>
      <x:c r="C4" s="12" t="str"/>
      <x:c r="D4" s="12" t="str"/>
      <x:c r="E4" s="12" t="str"/>
    </x:row>
    <x:row r="5">
      <x:c r="A5" s="12" t="str">
        <x:v>hidden_size</x:v>
      </x:c>
      <x:c r="B5" s="12" t="str"/>
      <x:c r="C5" s="12" t="str"/>
      <x:c r="D5" s="12" t="str"/>
      <x:c r="E5" s="12" t="str"/>
    </x:row>
    <x:row r="6">
      <x:c r="A6" s="12" t="str">
        <x:v>number_of_layers</x:v>
      </x:c>
      <x:c r="B6" s="12" t="str"/>
      <x:c r="C6" s="12" t="str"/>
      <x:c r="D6" s="12" t="str"/>
      <x:c r="E6" s="12" t="str"/>
    </x:row>
    <x:row r="7">
      <x:c r="A7" s="12" t="str">
        <x:v>number_of_moe_layers</x:v>
      </x:c>
      <x:c r="B7" s="12" t="str"/>
      <x:c r="C7" s="12" t="str"/>
      <x:c r="D7" s="12" t="str"/>
      <x:c r="E7" s="12" t="str"/>
    </x:row>
    <x:row r="8">
      <x:c r="A8" s="12" t="str">
        <x:v>total_experts</x:v>
      </x:c>
      <x:c r="B8" s="12" t="str"/>
      <x:c r="C8" s="12" t="str"/>
      <x:c r="D8" s="12" t="str"/>
      <x:c r="E8" s="12" t="str"/>
    </x:row>
    <x:row r="9">
      <x:c r="A9" s="12" t="str">
        <x:v>active_experts_per_token</x:v>
      </x:c>
      <x:c r="B9" s="12" t="str"/>
      <x:c r="C9" s="12" t="str"/>
      <x:c r="D9" s="12" t="str"/>
      <x:c r="E9" s="12" t="str"/>
    </x:row>
    <x:row r="10">
      <x:c r="A10" s="12" t="str">
        <x:v>shared_experts</x:v>
      </x:c>
      <x:c r="B10" s="12" t="str"/>
      <x:c r="C10" s="12" t="str"/>
      <x:c r="D10" s="12" t="str"/>
      <x:c r="E10" s="12" t="str"/>
    </x:row>
    <x:row r="11">
      <x:c r="A11" s="12" t="str">
        <x:v>capacity_factor</x:v>
      </x:c>
      <x:c r="B11" s="12" t="str"/>
      <x:c r="C11" s="12" t="str"/>
      <x:c r="D11" s="12" t="str"/>
      <x:c r="E11" s="12" t="str"/>
    </x:row>
    <x:row r="12">
      <x:c r="A12" s="12" t="str">
        <x:v>routing_distribution</x:v>
      </x:c>
      <x:c r="B12" s="12" t="str"/>
      <x:c r="C12" s="12" t="str"/>
      <x:c r="D12" s="12" t="str"/>
      <x:c r="E12" s="12" t="str"/>
    </x:row>
    <x:row r="13">
      <x:c r="A13" s="12" t="str">
        <x:v>tokens_per_batch</x:v>
      </x:c>
      <x:c r="B13" s="12" t="str"/>
      <x:c r="C13" s="12" t="str"/>
      <x:c r="D13" s="12" t="str"/>
      <x:c r="E13" s="12" t="str"/>
    </x:row>
    <x:row r="14">
      <x:c r="A14" s="12" t="str">
        <x:v>sequence_length</x:v>
      </x:c>
      <x:c r="B14" s="12" t="str"/>
      <x:c r="C14" s="12" t="str"/>
      <x:c r="D14" s="12" t="str"/>
      <x:c r="E14" s="12" t="str"/>
    </x:row>
    <x:row r="15">
      <x:c r="A15" s="12" t="str">
        <x:v>activation_precision</x:v>
      </x:c>
      <x:c r="B15" s="12" t="str"/>
      <x:c r="C15" s="12" t="str"/>
      <x:c r="D15" s="12" t="str"/>
      <x:c r="E15" s="12" t="str"/>
    </x:row>
    <x:row r="16">
      <x:c r="A16" s="12" t="str">
        <x:v>dispatch_precision_bytes</x:v>
      </x:c>
      <x:c r="B16" s="12" t="str"/>
      <x:c r="C16" s="12" t="str"/>
      <x:c r="D16" s="12" t="str"/>
      <x:c r="E16" s="12" t="str"/>
    </x:row>
    <x:row r="17">
      <x:c r="A17" s="12" t="str">
        <x:v>combine_precision_bytes</x:v>
      </x:c>
      <x:c r="B17" s="12" t="str"/>
      <x:c r="C17" s="12" t="str"/>
      <x:c r="D17" s="12" t="str"/>
      <x:c r="E17" s="12" t="str"/>
    </x:row>
    <x:row r="18">
      <x:c r="A18" s="12" t="str">
        <x:v>expert_precision</x:v>
      </x:c>
      <x:c r="B18" s="12" t="str"/>
      <x:c r="C18" s="12" t="str"/>
      <x:c r="D18" s="12" t="str"/>
      <x:c r="E18" s="12" t="str"/>
    </x:row>
    <x:row r="19">
      <x:c r="A19" s="12" t="str">
        <x:v>EP_degree</x:v>
      </x:c>
      <x:c r="B19" s="12" t="str"/>
      <x:c r="C19" s="12" t="str"/>
      <x:c r="D19" s="12" t="str"/>
      <x:c r="E19" s="12" t="str"/>
    </x:row>
    <x:row r="20">
      <x:c r="A20" s="12" t="str">
        <x:v>TP_degree</x:v>
      </x:c>
      <x:c r="B20" s="12" t="str"/>
      <x:c r="C20" s="12" t="str"/>
      <x:c r="D20" s="12" t="str"/>
      <x:c r="E20" s="12" t="str"/>
    </x:row>
    <x:row r="21">
      <x:c r="A21" s="12" t="str">
        <x:v>PP_degree</x:v>
      </x:c>
      <x:c r="B21" s="12" t="str"/>
      <x:c r="C21" s="12" t="str"/>
      <x:c r="D21" s="12" t="str"/>
      <x:c r="E21" s="12" t="str"/>
    </x:row>
    <x:row r="22">
      <x:c r="A22" s="12" t="str">
        <x:v>DP_degree</x:v>
      </x:c>
      <x:c r="B22" s="12" t="str"/>
      <x:c r="C22" s="12" t="str"/>
      <x:c r="D22" s="12" t="str"/>
      <x:c r="E22" s="12" t="str"/>
    </x:row>
    <x:row r="23">
      <x:c r="A23" s="12" t="str">
        <x:v>GPUs_per_node</x:v>
      </x:c>
      <x:c r="B23" s="12" t="str"/>
      <x:c r="C23" s="12" t="str"/>
      <x:c r="D23" s="12" t="str"/>
      <x:c r="E23" s="12" t="str"/>
    </x:row>
    <x:row r="24">
      <x:c r="A24" s="12" t="str">
        <x:v>GPU_model</x:v>
      </x:c>
      <x:c r="B24" s="12" t="str"/>
      <x:c r="C24" s="12" t="str"/>
      <x:c r="D24" s="12" t="str"/>
      <x:c r="E24" s="12" t="str"/>
    </x:row>
    <x:row r="25">
      <x:c r="A25" s="12" t="str">
        <x:v>NVLink_NVSwitch_topology</x:v>
      </x:c>
      <x:c r="B25" s="12" t="str"/>
      <x:c r="C25" s="12" t="str"/>
      <x:c r="D25" s="12" t="str"/>
      <x:c r="E25" s="12" t="str"/>
    </x:row>
    <x:row r="26">
      <x:c r="A26" s="12" t="str">
        <x:v>NIC_count</x:v>
      </x:c>
      <x:c r="B26" s="12" t="str"/>
      <x:c r="C26" s="12" t="str"/>
      <x:c r="D26" s="12" t="str"/>
      <x:c r="E26" s="12" t="str"/>
    </x:row>
    <x:row r="27">
      <x:c r="A27" s="12" t="str">
        <x:v>NIC_speed_Gbps</x:v>
      </x:c>
      <x:c r="B27" s="12" t="str"/>
      <x:c r="C27" s="12" t="str"/>
      <x:c r="D27" s="12" t="str"/>
      <x:c r="E27" s="12" t="str"/>
    </x:row>
    <x:row r="28">
      <x:c r="A28" s="12" t="str">
        <x:v>fabric_type</x:v>
      </x:c>
      <x:c r="B28" s="12" t="str"/>
      <x:c r="C28" s="12" t="str"/>
      <x:c r="D28" s="12" t="str"/>
      <x:c r="E28" s="12" t="str"/>
    </x:row>
    <x:row r="29">
      <x:c r="A29" s="12" t="str">
        <x:v>oversubscription</x:v>
      </x:c>
      <x:c r="B29" s="12" t="str"/>
      <x:c r="C29" s="12" t="str"/>
      <x:c r="D29" s="12" t="str"/>
      <x:c r="E29" s="12" t="str"/>
    </x:row>
    <x:row r="30">
      <x:c r="A30" s="12" t="str">
        <x:v>observed_alltoall_bandwidth_GBps</x:v>
      </x:c>
      <x:c r="B30" s="12" t="str"/>
      <x:c r="C30" s="12" t="str"/>
      <x:c r="D30" s="12" t="str"/>
      <x:c r="E30" s="12" t="str"/>
    </x:row>
    <x:row r="31">
      <x:c r="A31" s="12" t="str">
        <x:v>dispatch_time_ms</x:v>
      </x:c>
      <x:c r="B31" s="12" t="str"/>
      <x:c r="C31" s="12" t="str"/>
      <x:c r="D31" s="12" t="str"/>
      <x:c r="E31" s="12" t="str"/>
    </x:row>
    <x:row r="32">
      <x:c r="A32" s="12" t="str">
        <x:v>combine_time_ms</x:v>
      </x:c>
      <x:c r="B32" s="12" t="str"/>
      <x:c r="C32" s="12" t="str"/>
      <x:c r="D32" s="12" t="str"/>
      <x:c r="E32" s="12" t="str"/>
    </x:row>
    <x:row r="33">
      <x:c r="A33" s="12" t="str">
        <x:v>expert_compute_time_ms</x:v>
      </x:c>
      <x:c r="B33" s="12" t="str"/>
      <x:c r="C33" s="12" t="str"/>
      <x:c r="D33" s="12" t="str"/>
      <x:c r="E33" s="12" t="str"/>
    </x:row>
    <x:row r="34">
      <x:c r="A34" s="12" t="str">
        <x:v>overlap_efficiency</x:v>
      </x:c>
      <x:c r="B34" s="12" t="str"/>
      <x:c r="C34" s="12" t="str"/>
      <x:c r="D34" s="12" t="str"/>
      <x:c r="E34" s="12" t="str"/>
    </x:row>
    <x:row r="35">
      <x:c r="A35" s="12" t="str">
        <x:v>training_step_time_ms</x:v>
      </x:c>
      <x:c r="B35" s="12" t="str"/>
      <x:c r="C35" s="12" t="str"/>
      <x:c r="D35" s="12" t="str"/>
      <x:c r="E35" s="12" t="str"/>
    </x:row>
    <x:row r="36">
      <x:c r="A36" s="12" t="str">
        <x:v>GPU_hourly_cost_USD</x:v>
      </x:c>
      <x:c r="B36" s="12" t="str"/>
      <x:c r="C36" s="12" t="str"/>
      <x:c r="D36" s="12" t="str"/>
      <x:c r="E36" s="12" t="str"/>
    </x:row>
    <x:row r="37">
      <x:c r="A37" s="12" t="str">
        <x:v>training_steps</x:v>
      </x:c>
      <x:c r="B37" s="12" t="str"/>
      <x:c r="C37" s="12" t="str"/>
      <x:c r="D37" s="12" t="str"/>
      <x:c r="E37" s="12" t="str"/>
    </x:row>
    <x:row r="38">
      <x:c r="A38" s="12" t="str">
        <x:v>inference_request_rate</x:v>
      </x:c>
      <x:c r="B38" s="12" t="str"/>
      <x:c r="C38" s="12" t="str"/>
      <x:c r="D38" s="12" t="str"/>
      <x:c r="E38" s="12" t="str"/>
    </x:row>
    <x:row r="39">
      <x:c r="A39" s="12" t="str">
        <x:v>inference_SLO_ms</x:v>
      </x:c>
      <x:c r="B39" s="12" t="str"/>
      <x:c r="C39" s="12" t="str"/>
      <x:c r="D39" s="12" t="str"/>
      <x:c r="E39" s="12" t="str"/>
    </x:row>
    <x:row r="40">
      <x:c r="A40" s="12" t="str">
        <x:v>notes</x:v>
      </x:c>
      <x:c r="B40" s="12" t="str"/>
      <x:c r="C40" s="12" t="str"/>
      <x:c r="D40" s="12" t="str"/>
      <x:c r="E40" s="12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0" hidden="0" customWidth="1"/>
    <x:col min="4" max="4" width="65" hidden="0" customWidth="1"/>
  </x:cols>
  <x:sheetData>
    <x:row r="1">
      <x:c r="A1" s="3" t="str">
        <x:v>COST</x:v>
      </x:c>
    </x:row>
    <x:row r="3">
      <x:c r="A3" s="8" t="str">
        <x:v>Metric</x:v>
      </x:c>
      <x:c r="B3" s="8" t="str">
        <x:v>Value</x:v>
      </x:c>
      <x:c r="C3" s="8" t="str">
        <x:v>Unit</x:v>
      </x:c>
      <x:c r="D3" s="8" t="str">
        <x:v>Formula</x:v>
      </x:c>
    </x:row>
    <x:row r="4">
      <x:c r="A4" t="str">
        <x:v>Exposed delay/step</x:v>
      </x:c>
      <x:c r="B4" t="n">
        <x:v>5</x:v>
      </x:c>
      <x:c r="C4" t="str">
        <x:v>ms HOUSE</x:v>
      </x:c>
      <x:c r="D4" t="str">
        <x:v>HOUSE delay input</x:v>
      </x:c>
    </x:row>
    <x:row r="5">
      <x:c r="A5" t="str">
        <x:v>GPU idle hours</x:v>
      </x:c>
      <x:c r="B5" t="n">
        <x:f>INPUTS!B15*(B4/1000)*INPUTS!B17/3600</x:f>
        <x:v>355.55555555555554</x:v>
      </x:c>
      <x:c r="C5" t="str">
        <x:v>GPU-hours</x:v>
      </x:c>
      <x:c r="D5" t="str">
        <x:v>G × Δt × S / 3600</x:v>
      </x:c>
    </x:row>
    <x:row r="6">
      <x:c r="A6" t="str">
        <x:v>Cost exposure</x:v>
      </x:c>
      <x:c r="B6" t="n">
        <x:f>B5*INPUTS!B16</x:f>
        <x:v>1422.2222222222222</x:v>
      </x:c>
      <x:c r="C6" t="str">
        <x:v>USD</x:v>
      </x:c>
      <x:c r="D6" t="str">
        <x:v>GPU-hours × $/GPU-hour</x:v>
      </x:c>
    </x:row>
    <x:row r="7">
      <x:c r="A7" t="str">
        <x:v>GPU count</x:v>
      </x:c>
      <x:c r="B7" t="n">
        <x:f>INPUTS!B15</x:f>
        <x:v>256</x:v>
      </x:c>
      <x:c r="C7" t="str">
        <x:v>GPUs</x:v>
      </x:c>
      <x:c r="D7" t="str">
        <x:v>from INPUTS</x:v>
      </x:c>
    </x:row>
    <x:row r="8">
      <x:c r="A8" t="str">
        <x:v>Steps</x:v>
      </x:c>
      <x:c r="B8" t="n">
        <x:f>INPUTS!B17</x:f>
        <x:v>1000000</x:v>
      </x:c>
      <x:c r="C8" t="str">
        <x:v>steps</x:v>
      </x:c>
      <x:c r="D8" t="str">
        <x:v>from INPUTS</x:v>
      </x:c>
    </x:row>
  </x:sheetData>
  <x:pageMargins left="0.7" right="0.7" top="0.75" bottom="0.75" header="0.3" footer="0.3"/>
</x:worksheet>
</file>