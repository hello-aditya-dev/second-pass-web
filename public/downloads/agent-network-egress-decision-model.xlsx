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01fba349b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6a78c1e8fc49ea"/>
    <x:sheet xmlns:r="http://schemas.openxmlformats.org/officeDocument/2006/relationships" name="WORKFLOW" sheetId="2" r:id="Rc9bfb6d87bfb47a3"/>
    <x:sheet xmlns:r="http://schemas.openxmlformats.org/officeDocument/2006/relationships" name="NETWORK_MODES" sheetId="3" r:id="R585431c7bf3744ce"/>
    <x:sheet xmlns:r="http://schemas.openxmlformats.org/officeDocument/2006/relationships" name="DESTINATIONS" sheetId="4" r:id="R1ca16dfd8eed4a8a"/>
    <x:sheet xmlns:r="http://schemas.openxmlformats.org/officeDocument/2006/relationships" name="DATA_CLASSES" sheetId="5" r:id="R13b8e5a36d48408f"/>
    <x:sheet xmlns:r="http://schemas.openxmlformats.org/officeDocument/2006/relationships" name="CREDENTIALS" sheetId="6" r:id="Rc27dc194a6834843"/>
    <x:sheet xmlns:r="http://schemas.openxmlformats.org/officeDocument/2006/relationships" name="POLICIES" sheetId="7" r:id="Raeab7fa07d7c42f9"/>
    <x:sheet xmlns:r="http://schemas.openxmlformats.org/officeDocument/2006/relationships" name="REACHABILITY" sheetId="8" r:id="Rd6977e15578d4574"/>
    <x:sheet xmlns:r="http://schemas.openxmlformats.org/officeDocument/2006/relationships" name="UTILITY" sheetId="9" r:id="Rd7b13a103e88462a"/>
    <x:sheet xmlns:r="http://schemas.openxmlformats.org/officeDocument/2006/relationships" name="OVERHANG" sheetId="10" r:id="R38a3cd2155bb44c8"/>
    <x:sheet xmlns:r="http://schemas.openxmlformats.org/officeDocument/2006/relationships" name="SENSITIVITY" sheetId="11" r:id="R323b4ec7ebc24a4c"/>
    <x:sheet xmlns:r="http://schemas.openxmlformats.org/officeDocument/2006/relationships" name="SOURCES" sheetId="12" r:id="R70da0b4e5d23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  <x:font>
      <x:b/>
      <x:sz val="11"/>
      <x:color rgb="FF11110F"/>
      <x:name val="Carlito"/>
    </x:font>
    <x:font>
      <x:sz val="11"/>
      <x:color rgb="FF1111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4D6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  <x:fill>
      <x:patternFill patternType="solid">
        <x:fgColor rgb="FFFFFDF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419b222d14278" /><Relationship Type="http://schemas.openxmlformats.org/officeDocument/2006/relationships/theme" Target="/xl/theme/theme1.xml" Id="Re86999eabdf14836" /><Relationship Type="http://schemas.openxmlformats.org/officeDocument/2006/relationships/sharedStrings" Target="/xl/sharedStrings.xml" Id="R69f9f49267814426" /><Relationship Type="http://schemas.openxmlformats.org/officeDocument/2006/relationships/worksheet" Target="/xl/worksheets/sheet1.xml" Id="R586a78c1e8fc49ea" /><Relationship Type="http://schemas.openxmlformats.org/officeDocument/2006/relationships/worksheet" Target="/xl/worksheets/sheet2.xml" Id="Rc9bfb6d87bfb47a3" /><Relationship Type="http://schemas.openxmlformats.org/officeDocument/2006/relationships/worksheet" Target="/xl/worksheets/sheet3.xml" Id="R585431c7bf3744ce" /><Relationship Type="http://schemas.openxmlformats.org/officeDocument/2006/relationships/worksheet" Target="/xl/worksheets/sheet4.xml" Id="R1ca16dfd8eed4a8a" /><Relationship Type="http://schemas.openxmlformats.org/officeDocument/2006/relationships/worksheet" Target="/xl/worksheets/sheet5.xml" Id="R13b8e5a36d48408f" /><Relationship Type="http://schemas.openxmlformats.org/officeDocument/2006/relationships/worksheet" Target="/xl/worksheets/sheet6.xml" Id="Rc27dc194a6834843" /><Relationship Type="http://schemas.openxmlformats.org/officeDocument/2006/relationships/worksheet" Target="/xl/worksheets/sheet7.xml" Id="Raeab7fa07d7c42f9" /><Relationship Type="http://schemas.openxmlformats.org/officeDocument/2006/relationships/worksheet" Target="/xl/worksheets/sheet8.xml" Id="Rd6977e15578d4574" /><Relationship Type="http://schemas.openxmlformats.org/officeDocument/2006/relationships/worksheet" Target="/xl/worksheets/sheet9.xml" Id="Rd7b13a103e88462a" /><Relationship Type="http://schemas.openxmlformats.org/officeDocument/2006/relationships/worksheet" Target="/xl/worksheets/sheet10.xml" Id="R38a3cd2155bb44c8" /><Relationship Type="http://schemas.openxmlformats.org/officeDocument/2006/relationships/worksheet" Target="/xl/worksheets/sheet11.xml" Id="R323b4ec7ebc24a4c" /><Relationship Type="http://schemas.openxmlformats.org/officeDocument/2006/relationships/worksheet" Target="/xl/worksheets/sheet12.xml" Id="R70da0b4e5d234d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s="24" t="str">
        <x:v>SECOND / PASS — Agent Network Egress Decision Model</x:v>
      </x:c>
      <x:c r="B1" s="25"/>
    </x:row>
    <x:row r="2">
      <x:c r="A2" s="25"/>
      <x:c r="B2" s="25"/>
    </x:row>
    <x:row r="3">
      <x:c r="A3" s="8" t="str">
        <x:v>Defensive policy model for deciding NETWORK OFF vs RESTRICTED EGRESS vs BROADER NETWORK. It models egress as destination × action × credential × data scope, preserves UNKNOWN states, compares deterministic task-dependency utility with granted authority, and never outputs 'SECURE'.</x:v>
      </x:c>
      <x:c r="B3" s="25"/>
    </x:row>
    <x:row r="4">
      <x:c r="A4" s="25"/>
      <x:c r="B4" s="25"/>
    </x:row>
    <x:row r="5">
      <x:c r="A5" s="25"/>
      <x:c r="B5" s="25"/>
    </x:row>
    <x:row r="6">
      <x:c r="A6" s="25"/>
      <x:c r="B6" s="25"/>
    </x:row>
    <x:row r="7">
      <x:c r="A7" s="26" t="str">
        <x:v>Sheet</x:v>
      </x:c>
      <x:c r="B7" s="26" t="str">
        <x:v>Purpose</x:v>
      </x:c>
    </x:row>
    <x:row r="8">
      <x:c r="A8" s="25" t="str">
        <x:v>WORKFLOW</x:v>
      </x:c>
      <x:c r="B8" s="25" t="str">
        <x:v>Decision inputs and final verdict target</x:v>
      </x:c>
    </x:row>
    <x:row r="9">
      <x:c r="A9" s="25" t="str">
        <x:v>NETWORK_MODES</x:v>
      </x:c>
      <x:c r="B9" s="25" t="str">
        <x:v>Three/four network-policy modes and phase separation</x:v>
      </x:c>
    </x:row>
    <x:row r="10">
      <x:c r="A10" s="25" t="str">
        <x:v>DESTINATIONS</x:v>
      </x:c>
      <x:c r="B10" s="25" t="str">
        <x:v>Capability tuple inventory and required/critical flags</x:v>
      </x:c>
    </x:row>
    <x:row r="11">
      <x:c r="A11" s="25" t="str">
        <x:v>DATA_CLASSES</x:v>
      </x:c>
      <x:c r="B11" s="25" t="str">
        <x:v>Data sensitivity/authorization classes</x:v>
      </x:c>
    </x:row>
    <x:row r="12">
      <x:c r="A12" s="25" t="str">
        <x:v>CREDENTIALS</x:v>
      </x:c>
      <x:c r="B12" s="25" t="str">
        <x:v>Raw-secret visibility, audience and mediated-delivery scenarios</x:v>
      </x:c>
    </x:row>
    <x:row r="13">
      <x:c r="A13" s="25" t="str">
        <x:v>POLICIES</x:v>
      </x:c>
      <x:c r="B13" s="25" t="str">
        <x:v>Grant matrices, coverage, authority, overhang, utility and eligibility</x:v>
      </x:c>
    </x:row>
    <x:row r="14">
      <x:c r="A14" s="25" t="str">
        <x:v>REACHABILITY</x:v>
      </x:c>
      <x:c r="B14" s="25" t="str">
        <x:v>Data × destination states; prohibited/unknown path accounting</x:v>
      </x:c>
    </x:row>
    <x:row r="15">
      <x:c r="A15" s="25" t="str">
        <x:v>UTILITY</x:v>
      </x:c>
      <x:c r="B15" s="25" t="str">
        <x:v>Deterministic task dependency feasibility by policy</x:v>
      </x:c>
    </x:row>
    <x:row r="16">
      <x:c r="A16" s="25" t="str">
        <x:v>OVERHANG</x:v>
      </x:c>
      <x:c r="B16" s="25" t="str">
        <x:v>Selected-policy required/granted set difference</x:v>
      </x:c>
    </x:row>
    <x:row r="17">
      <x:c r="A17" s="25" t="str">
        <x:v>SENSITIVITY</x:v>
      </x:c>
      <x:c r="B17" s="25" t="str">
        <x:v>Primary vs variable-research counter-case</x:v>
      </x:c>
    </x:row>
    <x:row r="18">
      <x:c r="A18" s="25" t="str">
        <x:v>SOURCES</x:v>
      </x:c>
      <x:c r="B18" s="25" t="str">
        <x:v>Current primary/standards sources</x:v>
      </x:c>
    </x:row>
    <x:row r="19">
      <x:c r="A19" s="25"/>
      <x:c r="B19" s="25"/>
    </x:row>
    <x:row r="20">
      <x:c r="A20" s="25"/>
      <x:c r="B20" s="25"/>
    </x:row>
    <x:row r="21">
      <x:c r="A21" s="27" t="str">
        <x:v>MANDATORY</x:v>
      </x:c>
      <x:c r="B21" s="21" t="str">
        <x:v>No actual credential values belong in this workbook.</x:v>
      </x:c>
    </x:row>
    <x:row r="22">
      <x:c r="A22" s="27" t="str">
        <x:v>MANDATORY</x:v>
      </x:c>
      <x:c r="B22" s="21" t="str">
        <x:v>UNKNOWN is not BLOCKED and is not SAFE. Any decision-critical UNKNOWN blocks a confident verdict.</x:v>
      </x:c>
    </x:row>
    <x:row r="23">
      <x:c r="A23" s="27" t="str">
        <x:v>MANDATORY</x:v>
      </x:c>
      <x:c r="B23" s="21" t="str">
        <x:v>Scenario task utility is deterministic dependency feasibility from declared requirements, not an empirical agent success rate.</x:v>
      </x:c>
    </x:row>
    <x:row r="24">
      <x:c r="A24" s="27" t="str">
        <x:v>MANDATORY</x:v>
      </x:c>
      <x:c r="B24" s="21" t="str">
        <x:v>Authority weights are buyer/scenario inputs for policy comparison; they are not breach probabilities or a universal risk score.</x:v>
      </x:c>
    </x:row>
    <x:row r="25">
      <x:c r="A25" s="27" t="str">
        <x:v>MANDATORY</x:v>
      </x:c>
      <x:c r="B25" s="21" t="str">
        <x:v>A valid destination does not authorize every data class or every method/action.</x:v>
      </x:c>
    </x:row>
    <x:row r="26">
      <x:c r="A26" s="27" t="str">
        <x:v>MANDATORY</x:v>
      </x:c>
      <x:c r="B26" s="21" t="str">
        <x:v>Sandboxing, network policy, credential visibility and persistence are separate boundaries.</x:v>
      </x:c>
    </x:row>
    <x:row r="27">
      <x:c r="A27" s="25"/>
      <x:c r="B27" s="25"/>
    </x:row>
    <x:row r="28">
      <x:c r="A28" s="25"/>
      <x:c r="B28" s="25"/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18" hidden="0" customWidth="1"/>
    <x:col min="4" max="4" width="80" hidden="0" customWidth="1"/>
  </x:cols>
  <x:sheetData>
    <x:row r="1">
      <x:c r="A1" s="26" t="str">
        <x:v>Decision input</x:v>
      </x:c>
      <x:c r="B1" s="26" t="str">
        <x:v>Value</x:v>
      </x:c>
      <x:c r="C1" s="26" t="str">
        <x:v>Classification</x:v>
      </x:c>
      <x:c r="D1" s="26" t="str">
        <x:v>Note</x:v>
      </x:c>
    </x:row>
    <x:row r="2">
      <x:c r="A2" s="25" t="str">
        <x:v>Workflow</x:v>
      </x:c>
      <x:c r="B2" s="36" t="str">
        <x:v>PRIMARY_REPO_BUGFIX</x:v>
      </x:c>
      <x:c r="C2" s="25" t="str">
        <x:v>SCENARIO</x:v>
      </x:c>
      <x:c r="D2" s="25" t="str">
        <x:v>Repository bug fix needing approved public dependencies/docs/source plus scoped internal CI.</x:v>
      </x:c>
    </x:row>
    <x:row r="3">
      <x:c r="A3" s="25" t="str">
        <x:v>Task suite</x:v>
      </x:c>
      <x:c r="B3" s="36" t="str">
        <x:v>PRIMARY_TASK_SUITE_5</x:v>
      </x:c>
      <x:c r="C3" s="25" t="str">
        <x:v>SCENARIO</x:v>
      </x:c>
      <x:c r="D3" s="25" t="str">
        <x:v>Five deterministic dependency-feasibility tasks.</x:v>
      </x:c>
    </x:row>
    <x:row r="4">
      <x:c r="A4" s="25" t="str">
        <x:v>Network phase</x:v>
      </x:c>
      <x:c r="B4" s="36" t="str">
        <x:v>AGENT_EXECUTION</x:v>
      </x:c>
      <x:c r="C4" s="25" t="str">
        <x:v>INPUT</x:v>
      </x:c>
      <x:c r="D4" s="25" t="str">
        <x:v>Setup/dependency acquisition may be separately controlled.</x:v>
      </x:c>
    </x:row>
    <x:row r="5">
      <x:c r="A5" s="25" t="str">
        <x:v>Target weighted utility</x:v>
      </x:c>
      <x:c r="B5" s="37" t="n">
        <x:v>1</x:v>
      </x:c>
      <x:c r="C5" s="25" t="str">
        <x:v>INPUT</x:v>
      </x:c>
      <x:c r="D5" s="25" t="str">
        <x:v>Required policy utility threshold.</x:v>
      </x:c>
    </x:row>
    <x:row r="6">
      <x:c r="A6" s="25" t="str">
        <x:v>Required critical-request coverage</x:v>
      </x:c>
      <x:c r="B6" s="37" t="n">
        <x:v>1</x:v>
      </x:c>
      <x:c r="C6" s="25" t="str">
        <x:v>INPUT</x:v>
      </x:c>
      <x:c r="D6" s="25" t="str">
        <x:v>All critical external dependencies must be reachable.</x:v>
      </x:c>
    </x:row>
    <x:row r="7">
      <x:c r="A7" s="25" t="str">
        <x:v>Max prohibited autonomous paths</x:v>
      </x:c>
      <x:c r="B7" s="36" t="n">
        <x:v>0</x:v>
      </x:c>
      <x:c r="C7" s="25" t="str">
        <x:v>INPUT</x:v>
      </x:c>
      <x:c r="D7" s="25" t="str">
        <x:v>Zero required for confident verdict.</x:v>
      </x:c>
    </x:row>
    <x:row r="8">
      <x:c r="A8" s="25" t="str">
        <x:v>Max unknown policy paths</x:v>
      </x:c>
      <x:c r="B8" s="36" t="n">
        <x:v>0</x:v>
      </x:c>
      <x:c r="C8" s="25" t="str">
        <x:v>INPUT</x:v>
      </x:c>
      <x:c r="D8" s="25" t="str">
        <x:v>UNKNOWN blocks confident verdict.</x:v>
      </x:c>
    </x:row>
    <x:row r="9">
      <x:c r="A9" s="25" t="str">
        <x:v>Allow raw secret visibility?</x:v>
      </x:c>
      <x:c r="B9" s="36" t="str">
        <x:v>NO</x:v>
      </x:c>
      <x:c r="C9" s="25" t="str">
        <x:v>INPUT</x:v>
      </x:c>
      <x:c r="D9" s="25" t="str">
        <x:v>Default defensive posture.</x:v>
      </x:c>
    </x:row>
    <x:row r="10">
      <x:c r="A10" s="25" t="str">
        <x:v>Selected credential scenario</x:v>
      </x:c>
      <x:c r="B10" s="36" t="str">
        <x:v>S2_MEDIATED_SCOPED</x:v>
      </x:c>
      <x:c r="C10" s="25" t="str">
        <x:v>INPUT</x:v>
      </x:c>
      <x:c r="D10" s="25" t="str">
        <x:v>See CREDENTIALS.</x:v>
      </x:c>
    </x:row>
    <x:row r="11">
      <x:c r="A11" s="25" t="str">
        <x:v>Final minimum viable policy</x:v>
      </x:c>
      <x:c r="B11" s="42" t="str">
        <x:f>IF(AND(POLICIES!T2="YES",POLICIES!U2=""),"A_OFFLINE",IF(AND(POLICIES!T3="YES",POLICIES!U3=""),"B_PUBLIC_ALLOWLIST",IF(AND(POLICIES!T4="YES",POLICIES!U4=""),"C_SCOPED_AUTH",IF(AND(POLICIES!T5="YES",POLICIES!U5=""),"D_BROADER","INSUFFICIENT INPUT"))))</x:f>
        <x:v>C_SCOPED_AUTH</x:v>
      </x:c>
      <x:c r="C11" s="25" t="str">
        <x:v>FORMULA</x:v>
      </x:c>
      <x:c r="D11" s="25" t="str">
        <x:v>First non-dominated eligible policy in ascending authority order.</x:v>
      </x:c>
    </x:row>
    <x:row r="12">
      <x:c r="A12" s="25" t="str">
        <x:v>Verdict</x:v>
      </x:c>
      <x:c r="B12" s="42" t="str">
        <x:f>IF(B11="A_OFFLINE","NETWORK OFF SUFFICIENT",IF(OR(B11="B_PUBLIC_ALLOWLIST",B11="C_SCOPED_AUTH"),"RESTRICTED EGRESS SUFFICIENT",IF(B11="D_BROADER","BROADER NETWORK REQUIRED BY MEASURED TASK SUITE","INSUFFICIENT INPUT")))</x:f>
        <x:v>RESTRICTED EGRESS SUFFICIENT</x:v>
      </x:c>
      <x:c r="C12" s="25" t="str">
        <x:v>FORMULA</x:v>
      </x:c>
      <x:c r="D12" s="25" t="str">
        <x:v>NETWORK OFF / RESTRICTED / BROADER / INSUFFICIENT INPUT.</x:v>
      </x:c>
    </x:row>
    <x:row r="13">
      <x:c r="A13" s="25"/>
      <x:c r="B13" s="25"/>
      <x:c r="C13" s="25"/>
      <x:c r="D13" s="25"/>
    </x:row>
    <x:row r="14">
      <x:c r="A14" s="25" t="str">
        <x:v>Manual intervention minutes optional</x:v>
      </x:c>
      <x:c r="B14" s="53" t="str"/>
      <x:c r="C14" s="25" t="str">
        <x:v>OPTIONAL INPUT</x:v>
      </x:c>
      <x:c r="D14" s="25" t="str">
        <x:v>Company measurement input for operational-cost comparison; not used in default verdict.</x:v>
      </x:c>
    </x:row>
    <x:row r="15">
      <x:c r="A15" t="str">
        <x:v>Authority weights location</x:v>
      </x:c>
      <x:c r="B15" t="str">
        <x:v>DESTINATIONS!I2:I8</x:v>
      </x:c>
      <x:c r="C15" t="str">
        <x:v>OPTIONAL INPUT</x:v>
      </x:c>
      <x:c r="D15" t="str">
        <x:v>Weights are comparison inputs only—not probabilities or a universal risk score.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85" hidden="0" customWidth="1"/>
  </x:cols>
  <x:sheetData>
    <x:row r="1">
      <x:c r="A1" s="26" t="str">
        <x:v>Mode</x:v>
      </x:c>
      <x:c r="B1" s="26" t="str">
        <x:v>Agent-execution network</x:v>
      </x:c>
      <x:c r="C1" s="26" t="str">
        <x:v>Known public reads</x:v>
      </x:c>
      <x:c r="D1" s="26" t="str">
        <x:v>Scoped authenticated action</x:v>
      </x:c>
      <x:c r="E1" s="26" t="str">
        <x:v>Variable external reach</x:v>
      </x:c>
      <x:c r="F1" s="26" t="str">
        <x:v>Secret model-visible?</x:v>
      </x:c>
      <x:c r="G1" s="26" t="str">
        <x:v>Current-source note</x:v>
      </x:c>
    </x:row>
    <x:row r="2">
      <x:c r="A2" s="25" t="str">
        <x:v>A — NETWORK OFF</x:v>
      </x:c>
      <x:c r="B2" s="25" t="str">
        <x:v>OFF</x:v>
      </x:c>
      <x:c r="C2" s="25" t="str">
        <x:v>NO</x:v>
      </x:c>
      <x:c r="D2" s="25" t="str">
        <x:v>NO</x:v>
      </x:c>
      <x:c r="E2" s="25" t="str">
        <x:v>NO</x:v>
      </x:c>
      <x:c r="F2" s="25" t="str">
        <x:v>NO</x:v>
      </x:c>
      <x:c r="G2" s="25" t="str">
        <x:v>Codex/cloud and sandbox designs commonly support network-disabled execution as a baseline.</x:v>
      </x:c>
    </x:row>
    <x:row r="3">
      <x:c r="A3" s="25" t="str">
        <x:v>B — PUBLIC READ ALLOWLIST</x:v>
      </x:c>
      <x:c r="B3" s="25" t="str">
        <x:v>RESTRICTED</x:v>
      </x:c>
      <x:c r="C3" s="25" t="str">
        <x:v>YES</x:v>
      </x:c>
      <x:c r="D3" s="25" t="str">
        <x:v>NO</x:v>
      </x:c>
      <x:c r="E3" s="25" t="str">
        <x:v>NO</x:v>
      </x:c>
      <x:c r="F3" s="25" t="str">
        <x:v>NO</x:v>
      </x:c>
      <x:c r="G3" s="25" t="str">
        <x:v>Domain/host allowlisting and proxy mediation are documented in current coding-agent architectures.</x:v>
      </x:c>
    </x:row>
    <x:row r="4">
      <x:c r="A4" s="25" t="str">
        <x:v>C — SCOPED AUTH EGRESS</x:v>
      </x:c>
      <x:c r="B4" s="25" t="str">
        <x:v>RESTRICTED</x:v>
      </x:c>
      <x:c r="C4" s="25" t="str">
        <x:v>YES</x:v>
      </x:c>
      <x:c r="D4" s="25" t="str">
        <x:v>YES</x:v>
      </x:c>
      <x:c r="E4" s="25" t="str">
        <x:v>NO</x:v>
      </x:c>
      <x:c r="F4" s="25" t="str">
        <x:v>NO</x:v>
      </x:c>
      <x:c r="G4" s="25" t="str">
        <x:v>Current hosted-container pattern: raw secret stays outside model/container context and is applied at approved destination.</x:v>
      </x:c>
    </x:row>
    <x:row r="5">
      <x:c r="A5" s="25" t="str">
        <x:v>D — BROADER INTERNET</x:v>
      </x:c>
      <x:c r="B5" s="25" t="str">
        <x:v>BROADER</x:v>
      </x:c>
      <x:c r="C5" s="25" t="str">
        <x:v>YES</x:v>
      </x:c>
      <x:c r="D5" s="25" t="str">
        <x:v>YES</x:v>
      </x:c>
      <x:c r="E5" s="25" t="str">
        <x:v>YES</x:v>
      </x:c>
      <x:c r="F5" s="25" t="str">
        <x:v>NO in modeled mediated-secret design</x:v>
      </x:c>
      <x:c r="G5" s="25" t="str">
        <x:v>Broader reach can be necessary for variable research; it is not synonymous with totally unrestricted access.</x:v>
      </x:c>
    </x:row>
    <x:row r="6">
      <x:c r="A6" s="25"/>
      <x:c r="B6" s="25"/>
      <x:c r="C6" s="25"/>
      <x:c r="D6" s="25"/>
      <x:c r="E6" s="25"/>
      <x:c r="F6" s="25"/>
      <x:c r="G6" s="25"/>
    </x:row>
    <x:row r="7">
      <x:c r="A7" s="25"/>
      <x:c r="B7" s="25"/>
      <x:c r="C7" s="25"/>
      <x:c r="D7" s="25"/>
      <x:c r="E7" s="25"/>
      <x:c r="F7" s="25"/>
      <x:c r="G7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70" hidden="0" customWidth="1"/>
  </x:cols>
  <x:sheetData>
    <x:row r="1">
      <x:c r="A1" s="26" t="str">
        <x:v>Cap ID</x:v>
      </x:c>
      <x:c r="B1" s="26" t="str">
        <x:v>Destination class</x:v>
      </x:c>
      <x:c r="C1" s="26" t="str">
        <x:v>Destination/resource</x:v>
      </x:c>
      <x:c r="D1" s="26" t="str">
        <x:v>Method/action</x:v>
      </x:c>
      <x:c r="E1" s="26" t="str">
        <x:v>Credential capability</x:v>
      </x:c>
      <x:c r="F1" s="26" t="str">
        <x:v>Data scope</x:v>
      </x:c>
      <x:c r="G1" s="26" t="str">
        <x:v>Required?</x:v>
      </x:c>
      <x:c r="H1" s="26" t="str">
        <x:v>Critical?</x:v>
      </x:c>
      <x:c r="I1" s="26" t="str">
        <x:v>Authority weight</x:v>
      </x:c>
      <x:c r="J1" s="26" t="str">
        <x:v>Policy phase</x:v>
      </x:c>
      <x:c r="K1" s="26" t="str">
        <x:v>Note</x:v>
      </x:c>
    </x:row>
    <x:row r="2">
      <x:c r="A2" s="25" t="str">
        <x:v>E1</x:v>
      </x:c>
      <x:c r="B2" s="25" t="str">
        <x:v>DOCUMENTATION</x:v>
      </x:c>
      <x:c r="C2" s="25" t="str">
        <x:v>docs.vendor.example</x:v>
      </x:c>
      <x:c r="D2" s="25" t="str">
        <x:v>GET</x:v>
      </x:c>
      <x:c r="E2" s="25" t="str">
        <x:v>NONE</x:v>
      </x:c>
      <x:c r="F2" s="25" t="str">
        <x:v>PUBLIC</x:v>
      </x:c>
      <x:c r="G2" s="36" t="n">
        <x:v>1</x:v>
      </x:c>
      <x:c r="H2" s="36" t="n">
        <x:v>1</x:v>
      </x:c>
      <x:c r="I2" s="36" t="n">
        <x:v>1</x:v>
      </x:c>
      <x:c r="J2" s="25" t="str">
        <x:v>AGENT_EXECUTION</x:v>
      </x:c>
      <x:c r="K2" s="25" t="str">
        <x:v>Read public package/API documentation.</x:v>
      </x:c>
    </x:row>
    <x:row r="3">
      <x:c r="A3" s="25" t="str">
        <x:v>E2</x:v>
      </x:c>
      <x:c r="B3" s="25" t="str">
        <x:v>PACKAGE_REGISTRY</x:v>
      </x:c>
      <x:c r="C3" s="25" t="str">
        <x:v>registry.example</x:v>
      </x:c>
      <x:c r="D3" s="25" t="str">
        <x:v>GET</x:v>
      </x:c>
      <x:c r="E3" s="25" t="str">
        <x:v>NONE</x:v>
      </x:c>
      <x:c r="F3" s="25" t="str">
        <x:v>PUBLIC_REQUEST_METADATA</x:v>
      </x:c>
      <x:c r="G3" s="36" t="n">
        <x:v>1</x:v>
      </x:c>
      <x:c r="H3" s="36" t="n">
        <x:v>1</x:v>
      </x:c>
      <x:c r="I3" s="36" t="n">
        <x:v>1</x:v>
      </x:c>
      <x:c r="J3" s="25" t="str">
        <x:v>AGENT_EXECUTION</x:v>
      </x:c>
      <x:c r="K3" s="25" t="str">
        <x:v>Download declared dependency/package metadata.</x:v>
      </x:c>
    </x:row>
    <x:row r="4">
      <x:c r="A4" s="25" t="str">
        <x:v>E3</x:v>
      </x:c>
      <x:c r="B4" s="25" t="str">
        <x:v>SOURCE_CONTROL</x:v>
      </x:c>
      <x:c r="C4" s="25" t="str">
        <x:v>source.example</x:v>
      </x:c>
      <x:c r="D4" s="25" t="str">
        <x:v>GET</x:v>
      </x:c>
      <x:c r="E4" s="25" t="str">
        <x:v>NONE</x:v>
      </x:c>
      <x:c r="F4" s="25" t="str">
        <x:v>PUBLIC</x:v>
      </x:c>
      <x:c r="G4" s="36" t="n">
        <x:v>1</x:v>
      </x:c>
      <x:c r="H4" s="36" t="n">
        <x:v>1</x:v>
      </x:c>
      <x:c r="I4" s="36" t="n">
        <x:v>1</x:v>
      </x:c>
      <x:c r="J4" s="25" t="str">
        <x:v>AGENT_EXECUTION</x:v>
      </x:c>
      <x:c r="K4" s="25" t="str">
        <x:v>Read upstream public source/release/issue context.</x:v>
      </x:c>
    </x:row>
    <x:row r="5">
      <x:c r="A5" s="25" t="str">
        <x:v>E4</x:v>
      </x:c>
      <x:c r="B5" s="25" t="str">
        <x:v>INTERNAL_SERVICE</x:v>
      </x:c>
      <x:c r="C5" s="25" t="str">
        <x:v>ci.internal.example</x:v>
      </x:c>
      <x:c r="D5" s="25" t="str">
        <x:v>POST</x:v>
      </x:c>
      <x:c r="E5" s="25" t="str">
        <x:v>CI_SCOPED_TOKEN</x:v>
      </x:c>
      <x:c r="F5" s="25" t="str">
        <x:v>BUILD_ARTIFACTS</x:v>
      </x:c>
      <x:c r="G5" s="36" t="n">
        <x:v>1</x:v>
      </x:c>
      <x:c r="H5" s="36" t="n">
        <x:v>1</x:v>
      </x:c>
      <x:c r="I5" s="36" t="n">
        <x:v>3</x:v>
      </x:c>
      <x:c r="J5" s="25" t="str">
        <x:v>AGENT_EXECUTION</x:v>
      </x:c>
      <x:c r="K5" s="25" t="str">
        <x:v>Submit an approved build/test artifact to internal CI.</x:v>
      </x:c>
    </x:row>
    <x:row r="6">
      <x:c r="A6" s="25" t="str">
        <x:v>E5</x:v>
      </x:c>
      <x:c r="B6" s="25" t="str">
        <x:v>ARBITRARY_EXTERNAL</x:v>
      </x:c>
      <x:c r="C6" s="25" t="str">
        <x:v>ANY_EXTERNAL</x:v>
      </x:c>
      <x:c r="D6" s="25" t="str">
        <x:v>GET</x:v>
      </x:c>
      <x:c r="E6" s="25" t="str">
        <x:v>NONE</x:v>
      </x:c>
      <x:c r="F6" s="25" t="str">
        <x:v>PUBLIC_OR_MODEL_OUTPUT</x:v>
      </x:c>
      <x:c r="G6" s="36" t="n">
        <x:v>0</x:v>
      </x:c>
      <x:c r="H6" s="36" t="n">
        <x:v>0</x:v>
      </x:c>
      <x:c r="I6" s="36" t="n">
        <x:v>4</x:v>
      </x:c>
      <x:c r="J6" s="25" t="str">
        <x:v>AGENT_EXECUTION</x:v>
      </x:c>
      <x:c r="K6" s="25" t="str">
        <x:v>Broad public-read capability beyond known workflow destinations.</x:v>
      </x:c>
    </x:row>
    <x:row r="7">
      <x:c r="A7" s="25" t="str">
        <x:v>E6</x:v>
      </x:c>
      <x:c r="B7" s="25" t="str">
        <x:v>ARBITRARY_EXTERNAL</x:v>
      </x:c>
      <x:c r="C7" s="25" t="str">
        <x:v>ANY_EXTERNAL</x:v>
      </x:c>
      <x:c r="D7" s="25" t="str">
        <x:v>POST</x:v>
      </x:c>
      <x:c r="E7" s="25" t="str">
        <x:v>NONE</x:v>
      </x:c>
      <x:c r="F7" s="25" t="str">
        <x:v>WORKSPACE_OR_PROPRIETARY_SOURCE</x:v>
      </x:c>
      <x:c r="G7" s="36" t="n">
        <x:v>0</x:v>
      </x:c>
      <x:c r="H7" s="36" t="n">
        <x:v>0</x:v>
      </x:c>
      <x:c r="I7" s="36" t="n">
        <x:v>8</x:v>
      </x:c>
      <x:c r="J7" s="25" t="str">
        <x:v>AGENT_EXECUTION</x:v>
      </x:c>
      <x:c r="K7" s="25" t="str">
        <x:v>Broad outbound write path for workspace/proprietary data.</x:v>
      </x:c>
    </x:row>
    <x:row r="8">
      <x:c r="A8" s="25" t="str">
        <x:v>E7</x:v>
      </x:c>
      <x:c r="B8" s="25" t="str">
        <x:v>USER_CONTROLLED_DESTINATION</x:v>
      </x:c>
      <x:c r="C8" s="25" t="str">
        <x:v>USER_CONTROLLED</x:v>
      </x:c>
      <x:c r="D8" s="25" t="str">
        <x:v>POST</x:v>
      </x:c>
      <x:c r="E8" s="25" t="str">
        <x:v>NONE</x:v>
      </x:c>
      <x:c r="F8" s="25" t="str">
        <x:v>WORKSPACE_OR_BUILD_ARTIFACTS</x:v>
      </x:c>
      <x:c r="G8" s="36" t="n">
        <x:v>0</x:v>
      </x:c>
      <x:c r="H8" s="36" t="n">
        <x:v>0</x:v>
      </x:c>
      <x:c r="I8" s="36" t="n">
        <x:v>10</x:v>
      </x:c>
      <x:c r="J8" s="25" t="str">
        <x:v>AGENT_EXECUTION</x:v>
      </x:c>
      <x:c r="K8" s="25" t="str">
        <x:v>Outbound write to a destination not pre-approved by the enterprise.</x:v>
      </x:c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78" hidden="0" customWidth="1"/>
  </x:cols>
  <x:sheetData>
    <x:row r="1">
      <x:c r="A1" s="26" t="str">
        <x:v>Data class</x:v>
      </x:c>
      <x:c r="B1" s="26" t="str">
        <x:v>Sensitivity class</x:v>
      </x:c>
      <x:c r="C1" s="26" t="str">
        <x:v>Default external authorization</x:v>
      </x:c>
      <x:c r="D1" s="26" t="str">
        <x:v>Note</x:v>
      </x:c>
    </x:row>
    <x:row r="2">
      <x:c r="A2" s="25" t="str">
        <x:v>PUBLIC</x:v>
      </x:c>
      <x:c r="B2" s="25" t="str">
        <x:v>LOW</x:v>
      </x:c>
      <x:c r="C2" s="25" t="str">
        <x:v>MAY ALLOW</x:v>
      </x:c>
      <x:c r="D2" s="25" t="str">
        <x:v>Public information.</x:v>
      </x:c>
    </x:row>
    <x:row r="3">
      <x:c r="A3" s="25" t="str">
        <x:v>WORKSPACE_SOURCE</x:v>
      </x:c>
      <x:c r="B3" s="25" t="str">
        <x:v>HIGH</x:v>
      </x:c>
      <x:c r="C3" s="25" t="str">
        <x:v>BLOCK UNLESS EXPLICIT</x:v>
      </x:c>
      <x:c r="D3" s="25" t="str">
        <x:v>Repository/workspace content.</x:v>
      </x:c>
    </x:row>
    <x:row r="4">
      <x:c r="A4" s="25" t="str">
        <x:v>PROPRIETARY_SOURCE</x:v>
      </x:c>
      <x:c r="B4" s="25" t="str">
        <x:v>HIGH</x:v>
      </x:c>
      <x:c r="C4" s="25" t="str">
        <x:v>BLOCK UNLESS EXPLICIT</x:v>
      </x:c>
      <x:c r="D4" s="25" t="str">
        <x:v>Confidential company source/data.</x:v>
      </x:c>
    </x:row>
    <x:row r="5">
      <x:c r="A5" s="25" t="str">
        <x:v>BUILD_ARTIFACTS</x:v>
      </x:c>
      <x:c r="B5" s="25" t="str">
        <x:v>MEDIUM/HIGH</x:v>
      </x:c>
      <x:c r="C5" s="25" t="str">
        <x:v>ALLOW ONLY REQUIRED DESTINATION</x:v>
      </x:c>
      <x:c r="D5" s="25" t="str">
        <x:v>Artifacts can still contain sensitive code/output.</x:v>
      </x:c>
    </x:row>
    <x:row r="6">
      <x:c r="A6" s="25" t="str">
        <x:v>LOGS</x:v>
      </x:c>
      <x:c r="B6" s="25" t="str">
        <x:v>MEDIUM/HIGH</x:v>
      </x:c>
      <x:c r="C6" s="25" t="str">
        <x:v>BLOCK UNLESS EXPLICIT</x:v>
      </x:c>
      <x:c r="D6" s="25" t="str">
        <x:v>May contain paths, identifiers or sensitive output.</x:v>
      </x:c>
    </x:row>
    <x:row r="7">
      <x:c r="A7" s="25" t="str">
        <x:v>MODEL_OUTPUT</x:v>
      </x:c>
      <x:c r="B7" s="25" t="str">
        <x:v>VARIABLE</x:v>
      </x:c>
      <x:c r="C7" s="25" t="str">
        <x:v>POLICY-DEPENDENT</x:v>
      </x:c>
      <x:c r="D7" s="25" t="str">
        <x:v>Output may incorporate sensitive inputs.</x:v>
      </x:c>
    </x:row>
    <x:row r="8">
      <x:c r="A8" s="25" t="str">
        <x:v>SECRETS</x:v>
      </x:c>
      <x:c r="B8" s="25" t="str">
        <x:v>CRITICAL</x:v>
      </x:c>
      <x:c r="C8" s="25" t="str">
        <x:v>BLOCK RAW EGRESS</x:v>
      </x:c>
      <x:c r="D8" s="25" t="str">
        <x:v>Raw secrets should not be treated as ordinary data.</x:v>
      </x:c>
    </x:row>
    <x:row r="9">
      <x:c r="A9" s="25" t="str">
        <x:v>CREDENTIALS</x:v>
      </x:c>
      <x:c r="B9" s="25" t="str">
        <x:v>CRITICAL</x:v>
      </x:c>
      <x:c r="C9" s="25" t="str">
        <x:v>AUDIENCE/DESTINATION SCOPED</x:v>
      </x:c>
      <x:c r="D9" s="25" t="str">
        <x:v>Credential application is distinct from raw-secret visibility.</x:v>
      </x:c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38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6" hidden="0" customWidth="1"/>
  </x:cols>
  <x:sheetData>
    <x:row r="1">
      <x:c r="A1" s="26" t="str">
        <x:v>Selected credential model</x:v>
      </x:c>
      <x:c r="B1" s="26" t="str">
        <x:v>Value</x:v>
      </x:c>
      <x:c r="C1" s="26" t="str">
        <x:v>State</x:v>
      </x:c>
      <x:c r="D1" s="26" t="str">
        <x:v>Note</x:v>
      </x:c>
      <x:c r="E1" s="25"/>
      <x:c r="F1" s="25"/>
      <x:c r="G1" s="25"/>
      <x:c r="H1" s="25"/>
      <x:c r="I1" s="25"/>
      <x:c r="J1" s="25"/>
      <x:c r="K1" s="25"/>
    </x:row>
    <x:row r="2">
      <x:c r="A2" s="25" t="str">
        <x:v>Scenario</x:v>
      </x:c>
      <x:c r="B2" s="36" t="str">
        <x:f>WORKFLOW!B10</x:f>
        <x:v>S2_MEDIATED_SCOPED</x:v>
      </x:c>
      <x:c r="C2" s="42" t="str">
        <x:f>IF(OR(B2="S1_RAW_ENV_BROAD",B2="S2_MEDIATED_SCOPED",B2="S3_UNKNOWN_AUDIENCE"),"PASS","INVALID")</x:f>
        <x:v>PASS</x:v>
      </x:c>
      <x:c r="D2" s="25" t="str">
        <x:v>Switch to S1/S3 to test raw/unknown handling.</x:v>
      </x:c>
      <x:c r="E2" s="25"/>
      <x:c r="F2" s="25"/>
      <x:c r="G2" s="25"/>
      <x:c r="H2" s="25"/>
      <x:c r="I2" s="25"/>
      <x:c r="J2" s="25"/>
      <x:c r="K2" s="25"/>
    </x:row>
    <x:row r="3">
      <x:c r="A3" s="25" t="str">
        <x:v>Raw secret visible count</x:v>
      </x:c>
      <x:c r="B3" s="42" t="n">
        <x:f>IF(B2="S1_RAW_ENV_BROAD",1,IF(B2="S2_MEDIATED_SCOPED",0,"UNKNOWN"))</x:f>
        <x:v>0</x:v>
      </x:c>
      <x:c r="C3" s="42" t="str">
        <x:f>IF(B3="UNKNOWN","UNKNOWN",IF(B3=0,"PASS","RAW SECRET VISIBLE"))</x:f>
        <x:v>PASS</x:v>
      </x:c>
      <x:c r="D3" s="25" t="str">
        <x:v>0 required by default workflow policy.</x:v>
      </x:c>
      <x:c r="E3" s="25"/>
      <x:c r="F3" s="25"/>
      <x:c r="G3" s="25"/>
      <x:c r="H3" s="25"/>
      <x:c r="I3" s="25"/>
      <x:c r="J3" s="25"/>
      <x:c r="K3" s="25"/>
    </x:row>
    <x:row r="4">
      <x:c r="A4" s="25" t="str">
        <x:v>Credential/destination mismatch count</x:v>
      </x:c>
      <x:c r="B4" s="42" t="n">
        <x:f>IF(B2="S1_RAW_ENV_BROAD",1,IF(B2="S2_MEDIATED_SCOPED",0,"UNKNOWN"))</x:f>
        <x:v>0</x:v>
      </x:c>
      <x:c r="C4" s="42" t="str">
        <x:f>IF(B4="UNKNOWN","UNKNOWN",IF(B4=0,"PASS","MISMATCH"))</x:f>
        <x:v>PASS</x:v>
      </x:c>
      <x:c r="D4" s="25" t="str">
        <x:v>0 required.</x:v>
      </x:c>
      <x:c r="E4" s="25"/>
      <x:c r="F4" s="25"/>
      <x:c r="G4" s="25"/>
      <x:c r="H4" s="25"/>
      <x:c r="I4" s="25"/>
      <x:c r="J4" s="25"/>
      <x:c r="K4" s="25"/>
    </x:row>
    <x:row r="5">
      <x:c r="A5" s="25" t="str">
        <x:v>Unknown credential state count</x:v>
      </x:c>
      <x:c r="B5" s="42" t="n">
        <x:f>IF(B2="S3_UNKNOWN_AUDIENCE",1,0)</x:f>
        <x:v>0</x:v>
      </x:c>
      <x:c r="C5" s="42" t="str">
        <x:f>IF(B5=0,"PASS","UNKNOWN")</x:f>
        <x:v>PASS</x:v>
      </x:c>
      <x:c r="D5" s="25" t="str">
        <x:v>0 required.</x:v>
      </x:c>
      <x:c r="E5" s="25"/>
      <x:c r="F5" s="25"/>
      <x:c r="G5" s="25"/>
      <x:c r="H5" s="25"/>
      <x:c r="I5" s="25"/>
      <x:c r="J5" s="25"/>
      <x:c r="K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</x:row>
    <x:row r="8">
      <x:c r="A8" s="26" t="str">
        <x:v>Scenario ID</x:v>
      </x:c>
      <x:c r="B8" s="26" t="str">
        <x:v>Secret identity</x:v>
      </x:c>
      <x:c r="C8" s="26" t="str">
        <x:v>Type</x:v>
      </x:c>
      <x:c r="D8" s="26" t="str">
        <x:v>Valid audience</x:v>
      </x:c>
      <x:c r="E8" s="26" t="str">
        <x:v>Raw visible?</x:v>
      </x:c>
      <x:c r="F8" s="26" t="str">
        <x:v>Delivery architecture</x:v>
      </x:c>
      <x:c r="G8" s="26" t="str">
        <x:v>Exposure/application set</x:v>
      </x:c>
      <x:c r="H8" s="26" t="str">
        <x:v>Audience subset</x:v>
      </x:c>
      <x:c r="I8" s="26" t="str">
        <x:v>Mismatch</x:v>
      </x:c>
      <x:c r="J8" s="26" t="str">
        <x:v>Log policy</x:v>
      </x:c>
      <x:c r="K8" s="26" t="str">
        <x:v>Classification</x:v>
      </x:c>
    </x:row>
    <x:row r="9">
      <x:c r="A9" s="25" t="str">
        <x:v>S1_RAW_ENV_BROAD</x:v>
      </x:c>
      <x:c r="B9" s="25" t="str">
        <x:v>CI_SCOPED_TOKEN</x:v>
      </x:c>
      <x:c r="C9" s="25" t="str">
        <x:v>API/OAuth-style</x:v>
      </x:c>
      <x:c r="D9" s="25" t="str">
        <x:v>ci.internal.example</x:v>
      </x:c>
      <x:c r="E9" s="25" t="str">
        <x:v>YES</x:v>
      </x:c>
      <x:c r="F9" s="25" t="str">
        <x:v>RAW_SECRET_IN_AGENT_PROCESS_ENV</x:v>
      </x:c>
      <x:c r="G9" s="25" t="str">
        <x:v>ANY reachable destination</x:v>
      </x:c>
      <x:c r="H9" s="25" t="str">
        <x:v>FAIL</x:v>
      </x:c>
      <x:c r="I9" s="25" t="str">
        <x:v>YES</x:v>
      </x:c>
      <x:c r="J9" s="25" t="str">
        <x:v>MUST_NOT_LOG</x:v>
      </x:c>
      <x:c r="K9" s="25" t="str">
        <x:v>SCENARIO — no secret value</x:v>
      </x:c>
    </x:row>
    <x:row r="10">
      <x:c r="A10" s="25" t="str">
        <x:v>S2_MEDIATED_SCOPED</x:v>
      </x:c>
      <x:c r="B10" s="25" t="str">
        <x:v>CI_SCOPED_TOKEN</x:v>
      </x:c>
      <x:c r="C10" s="25" t="str">
        <x:v>API/OAuth-style</x:v>
      </x:c>
      <x:c r="D10" s="25" t="str">
        <x:v>ci.internal.example</x:v>
      </x:c>
      <x:c r="E10" s="25" t="str">
        <x:v>NO</x:v>
      </x:c>
      <x:c r="F10" s="25" t="str">
        <x:v>PLACEHOLDER + EGRESS PROXY</x:v>
      </x:c>
      <x:c r="G10" s="25" t="str">
        <x:v>ci.internal.example</x:v>
      </x:c>
      <x:c r="H10" s="25" t="str">
        <x:v>PASS</x:v>
      </x:c>
      <x:c r="I10" s="25" t="str">
        <x:v>NO</x:v>
      </x:c>
      <x:c r="J10" s="25" t="str">
        <x:v>MUST_NOT_LOG</x:v>
      </x:c>
      <x:c r="K10" s="25" t="str">
        <x:v>SCENARIO — proxy-mediated</x:v>
      </x:c>
    </x:row>
    <x:row r="11">
      <x:c r="A11" s="25" t="str">
        <x:v>S3_UNKNOWN_AUDIENCE</x:v>
      </x:c>
      <x:c r="B11" s="25" t="str">
        <x:v>THIRD_PARTY_TOKEN</x:v>
      </x:c>
      <x:c r="C11" s="25" t="str">
        <x:v>UNKNOWN</x:v>
      </x:c>
      <x:c r="D11" s="25" t="str">
        <x:v>UNKNOWN</x:v>
      </x:c>
      <x:c r="E11" s="25" t="str">
        <x:v>NO</x:v>
      </x:c>
      <x:c r="F11" s="25" t="str">
        <x:v>MEDIATED BUT AUDIENCE UNKNOWN</x:v>
      </x:c>
      <x:c r="G11" s="25" t="str">
        <x:v>approved.example</x:v>
      </x:c>
      <x:c r="H11" s="25" t="str">
        <x:v>UNKNOWN</x:v>
      </x:c>
      <x:c r="I11" s="25" t="str">
        <x:v>UNKNOWN</x:v>
      </x:c>
      <x:c r="J11" s="25" t="str">
        <x:v>MUST_NOT_LOG</x:v>
      </x:c>
      <x:c r="K11" s="25" t="str">
        <x:v>UNKNOWN — blocks verdict</x:v>
      </x:c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</x:cols>
  <x:sheetData>
    <x:row r="1">
      <x:c r="A1" s="26" t="str">
        <x:v>Policy ID</x:v>
      </x:c>
      <x:c r="B1" s="26" t="str">
        <x:v>Mode</x:v>
      </x:c>
      <x:c r="C1" s="26" t="str">
        <x:v>Label</x:v>
      </x:c>
      <x:c r="D1" s="26" t="str">
        <x:v>E1</x:v>
      </x:c>
      <x:c r="E1" s="26" t="str">
        <x:v>E2</x:v>
      </x:c>
      <x:c r="F1" s="26" t="str">
        <x:v>E3</x:v>
      </x:c>
      <x:c r="G1" s="26" t="str">
        <x:v>E4</x:v>
      </x:c>
      <x:c r="H1" s="26" t="str">
        <x:v>E5</x:v>
      </x:c>
      <x:c r="I1" s="26" t="str">
        <x:v>E6</x:v>
      </x:c>
      <x:c r="J1" s="26" t="str">
        <x:v>E7</x:v>
      </x:c>
      <x:c r="K1" s="26" t="str">
        <x:v>Req coverage</x:v>
      </x:c>
      <x:c r="L1" s="26" t="str">
        <x:v>Critical coverage</x:v>
      </x:c>
      <x:c r="M1" s="26" t="str">
        <x:v>Authority units</x:v>
      </x:c>
      <x:c r="N1" s="26" t="str">
        <x:v>Overhang count</x:v>
      </x:c>
      <x:c r="O1" s="26" t="str">
        <x:v>Utility</x:v>
      </x:c>
      <x:c r="P1" s="26" t="str">
        <x:v>Prohibited paths</x:v>
      </x:c>
      <x:c r="Q1" s="26" t="str">
        <x:v>Unknown paths</x:v>
      </x:c>
      <x:c r="R1" s="26" t="str">
        <x:v>Raw secret count</x:v>
      </x:c>
      <x:c r="S1" s="26" t="str">
        <x:v>Credential mismatch</x:v>
      </x:c>
      <x:c r="T1" s="26" t="str">
        <x:v>Eligible?</x:v>
      </x:c>
      <x:c r="U1" s="26" t="str">
        <x:v>Dominated by</x:v>
      </x:c>
    </x:row>
    <x:row r="2">
      <x:c r="A2" s="25" t="str">
        <x:v>A_OFFLINE</x:v>
      </x:c>
      <x:c r="B2" s="25" t="str">
        <x:v>NETWORK OFF</x:v>
      </x:c>
      <x:c r="C2" s="25" t="str">
        <x:v>A — Network disabled</x:v>
      </x:c>
      <x:c r="D2" s="36" t="n">
        <x:v>0</x:v>
      </x:c>
      <x:c r="E2" s="36" t="n">
        <x:v>0</x:v>
      </x:c>
      <x:c r="F2" s="36" t="n">
        <x:v>0</x:v>
      </x:c>
      <x:c r="G2" s="36" t="n">
        <x:v>0</x:v>
      </x:c>
      <x:c r="H2" s="36" t="n">
        <x:v>0</x:v>
      </x:c>
      <x:c r="I2" s="36" t="n">
        <x:v>0</x:v>
      </x:c>
      <x:c r="J2" s="36" t="n">
        <x:v>0</x:v>
      </x:c>
      <x:c r="K2" s="48" t="n">
        <x:f>(D2*DESTINATIONS!G2+E2*DESTINATIONS!G3+F2*DESTINATIONS!G4+G2*DESTINATIONS!G5+H2*DESTINATIONS!G6+I2*DESTINATIONS!G7+J2*DESTINATIONS!G8)/SUM(DESTINATIONS!G2:G8)</x:f>
        <x:v>0</x:v>
      </x:c>
      <x:c r="L2" s="48" t="n">
        <x:f>(D2*DESTINATIONS!H2+E2*DESTINATIONS!H3+F2*DESTINATIONS!H4+G2*DESTINATIONS!H5+H2*DESTINATIONS!H6+I2*DESTINATIONS!H7+J2*DESTINATIONS!H8)/SUM(DESTINATIONS!H2:H8)</x:f>
        <x:v>0</x:v>
      </x:c>
      <x:c r="M2" s="42" t="n">
        <x:f>D2*DESTINATIONS!I2+E2*DESTINATIONS!I3+F2*DESTINATIONS!I4+G2*DESTINATIONS!I5+H2*DESTINATIONS!I6+I2*DESTINATIONS!I7+J2*DESTINATIONS!I8</x:f>
        <x:v>0</x:v>
      </x:c>
      <x:c r="N2" s="42" t="n">
        <x:f>IF(AND(D2=1,DESTINATIONS!G2=0),1,0)+IF(AND(E2=1,DESTINATIONS!G3=0),1,0)+IF(AND(F2=1,DESTINATIONS!G4=0),1,0)+IF(AND(G2=1,DESTINATIONS!G5=0),1,0)+IF(AND(H2=1,DESTINATIONS!G6=0),1,0)+IF(AND(I2=1,DESTINATIONS!G7=0),1,0)+IF(AND(J2=1,DESTINATIONS!G8=0),1,0)</x:f>
        <x:v>0</x:v>
      </x:c>
      <x:c r="O2" s="48" t="n">
        <x:f>UTILITY!B10</x:f>
        <x:v>0.2</x:v>
      </x:c>
      <x:c r="P2" s="42" t="n">
        <x:v>0</x:v>
      </x:c>
      <x:c r="Q2" s="42" t="n">
        <x:v>0</x:v>
      </x:c>
      <x:c r="R2" s="42" t="n">
        <x:v>0</x:v>
      </x:c>
      <x:c r="S2" s="42" t="n">
        <x:v>0</x:v>
      </x:c>
      <x:c r="T2" s="42" t="str">
        <x:f>IF(OR(NOT(ISNUMBER(R2)),NOT(ISNUMBER(S2))),"NO — UNKNOWN",IF(AND(K2=1,L2&gt;=WORKFLOW!B6,O2&gt;=WORKFLOW!B5,P2&lt;=WORKFLOW!B7,Q2&lt;=WORKFLOW!B8,OR(WORKFLOW!B9="YES",R2=0),S2=0),"YES","NO"))</x:f>
        <x:v>NO</x:v>
      </x:c>
      <x:c r="U2" s="25" t="str"/>
    </x:row>
    <x:row r="3">
      <x:c r="A3" s="25" t="str">
        <x:v>B_PUBLIC_ALLOWLIST</x:v>
      </x:c>
      <x:c r="B3" s="25" t="str">
        <x:v>RESTRICTED</x:v>
      </x:c>
      <x:c r="C3" s="25" t="str">
        <x:v>B — Public read allowlist</x:v>
      </x:c>
      <x:c r="D3" s="36" t="n">
        <x:v>1</x:v>
      </x:c>
      <x:c r="E3" s="36" t="n">
        <x:v>1</x:v>
      </x:c>
      <x:c r="F3" s="36" t="n">
        <x:v>1</x:v>
      </x:c>
      <x:c r="G3" s="36" t="n">
        <x:v>0</x:v>
      </x:c>
      <x:c r="H3" s="36" t="n">
        <x:v>0</x:v>
      </x:c>
      <x:c r="I3" s="36" t="n">
        <x:v>0</x:v>
      </x:c>
      <x:c r="J3" s="36" t="n">
        <x:v>0</x:v>
      </x:c>
      <x:c r="K3" s="48" t="n">
        <x:f>(D3*DESTINATIONS!G2+E3*DESTINATIONS!G3+F3*DESTINATIONS!G4+G3*DESTINATIONS!G5+H3*DESTINATIONS!G6+I3*DESTINATIONS!G7+J3*DESTINATIONS!G8)/SUM(DESTINATIONS!G2:G8)</x:f>
        <x:v>0.75</x:v>
      </x:c>
      <x:c r="L3" s="48" t="n">
        <x:f>(D3*DESTINATIONS!H2+E3*DESTINATIONS!H3+F3*DESTINATIONS!H4+G3*DESTINATIONS!H5+H3*DESTINATIONS!H6+I3*DESTINATIONS!H7+J3*DESTINATIONS!H8)/SUM(DESTINATIONS!H2:H8)</x:f>
        <x:v>0.75</x:v>
      </x:c>
      <x:c r="M3" s="42" t="n">
        <x:f>D3*DESTINATIONS!I2+E3*DESTINATIONS!I3+F3*DESTINATIONS!I4+G3*DESTINATIONS!I5+H3*DESTINATIONS!I6+I3*DESTINATIONS!I7+J3*DESTINATIONS!I8</x:f>
        <x:v>3</x:v>
      </x:c>
      <x:c r="N3" s="42" t="n">
        <x:f>IF(AND(D3=1,DESTINATIONS!G2=0),1,0)+IF(AND(E3=1,DESTINATIONS!G3=0),1,0)+IF(AND(F3=1,DESTINATIONS!G4=0),1,0)+IF(AND(G3=1,DESTINATIONS!G5=0),1,0)+IF(AND(H3=1,DESTINATIONS!G6=0),1,0)+IF(AND(I3=1,DESTINATIONS!G7=0),1,0)+IF(AND(J3=1,DESTINATIONS!G8=0),1,0)</x:f>
        <x:v>0</x:v>
      </x:c>
      <x:c r="O3" s="48" t="n">
        <x:f>UTILITY!B11</x:f>
        <x:v>0.7</x:v>
      </x:c>
      <x:c r="P3" s="42" t="n">
        <x:v>0</x:v>
      </x:c>
      <x:c r="Q3" s="42" t="n">
        <x:v>0</x:v>
      </x:c>
      <x:c r="R3" s="42" t="n">
        <x:v>0</x:v>
      </x:c>
      <x:c r="S3" s="42" t="n">
        <x:v>0</x:v>
      </x:c>
      <x:c r="T3" s="42" t="str">
        <x:f>IF(OR(NOT(ISNUMBER(R3)),NOT(ISNUMBER(S3))),"NO — UNKNOWN",IF(AND(K3=1,L3&gt;=WORKFLOW!B6,O3&gt;=WORKFLOW!B5,P3&lt;=WORKFLOW!B7,Q3&lt;=WORKFLOW!B8,OR(WORKFLOW!B9="YES",R3=0),S3=0),"YES","NO"))</x:f>
        <x:v>NO</x:v>
      </x:c>
      <x:c r="U3" s="25" t="str"/>
    </x:row>
    <x:row r="4">
      <x:c r="A4" s="25" t="str">
        <x:v>C_SCOPED_AUTH</x:v>
      </x:c>
      <x:c r="B4" s="25" t="str">
        <x:v>RESTRICTED</x:v>
      </x:c>
      <x:c r="C4" s="25" t="str">
        <x:v>C — Allowlist + scoped authenticated egress</x:v>
      </x:c>
      <x:c r="D4" s="36" t="n">
        <x:v>1</x:v>
      </x:c>
      <x:c r="E4" s="36" t="n">
        <x:v>1</x:v>
      </x:c>
      <x:c r="F4" s="36" t="n">
        <x:v>1</x:v>
      </x:c>
      <x:c r="G4" s="36" t="n">
        <x:v>1</x:v>
      </x:c>
      <x:c r="H4" s="36" t="n">
        <x:v>0</x:v>
      </x:c>
      <x:c r="I4" s="36" t="n">
        <x:v>0</x:v>
      </x:c>
      <x:c r="J4" s="36" t="n">
        <x:v>0</x:v>
      </x:c>
      <x:c r="K4" s="48" t="n">
        <x:f>(D4*DESTINATIONS!G2+E4*DESTINATIONS!G3+F4*DESTINATIONS!G4+G4*DESTINATIONS!G5+H4*DESTINATIONS!G6+I4*DESTINATIONS!G7+J4*DESTINATIONS!G8)/SUM(DESTINATIONS!G2:G8)</x:f>
        <x:v>1</x:v>
      </x:c>
      <x:c r="L4" s="48" t="n">
        <x:f>(D4*DESTINATIONS!H2+E4*DESTINATIONS!H3+F4*DESTINATIONS!H4+G4*DESTINATIONS!H5+H4*DESTINATIONS!H6+I4*DESTINATIONS!H7+J4*DESTINATIONS!H8)/SUM(DESTINATIONS!H2:H8)</x:f>
        <x:v>1</x:v>
      </x:c>
      <x:c r="M4" s="42" t="n">
        <x:f>D4*DESTINATIONS!I2+E4*DESTINATIONS!I3+F4*DESTINATIONS!I4+G4*DESTINATIONS!I5+H4*DESTINATIONS!I6+I4*DESTINATIONS!I7+J4*DESTINATIONS!I8</x:f>
        <x:v>6</x:v>
      </x:c>
      <x:c r="N4" s="42" t="n">
        <x:f>IF(AND(D4=1,DESTINATIONS!G2=0),1,0)+IF(AND(E4=1,DESTINATIONS!G3=0),1,0)+IF(AND(F4=1,DESTINATIONS!G4=0),1,0)+IF(AND(G4=1,DESTINATIONS!G5=0),1,0)+IF(AND(H4=1,DESTINATIONS!G6=0),1,0)+IF(AND(I4=1,DESTINATIONS!G7=0),1,0)+IF(AND(J4=1,DESTINATIONS!G8=0),1,0)</x:f>
        <x:v>0</x:v>
      </x:c>
      <x:c r="O4" s="48" t="n">
        <x:f>UTILITY!B12</x:f>
        <x:v>1</x:v>
      </x:c>
      <x:c r="P4" s="42" t="n">
        <x:f>REACHABILITY!B101</x:f>
        <x:v>0</x:v>
      </x:c>
      <x:c r="Q4" s="42" t="n">
        <x:f>REACHABILITY!C101</x:f>
        <x:v>0</x:v>
      </x:c>
      <x:c r="R4" s="42" t="n">
        <x:f>CREDENTIALS!B3</x:f>
        <x:v>0</x:v>
      </x:c>
      <x:c r="S4" s="42" t="n">
        <x:f>CREDENTIALS!B4</x:f>
        <x:v>0</x:v>
      </x:c>
      <x:c r="T4" s="42" t="str">
        <x:f>IF(OR(NOT(ISNUMBER(R4)),NOT(ISNUMBER(S4)),CREDENTIALS!B5&gt;0),"NO — UNKNOWN",IF(AND(K4=1,L4&gt;=WORKFLOW!B6,O4&gt;=WORKFLOW!B5,P4&lt;=WORKFLOW!B7,Q4&lt;=WORKFLOW!B8,OR(WORKFLOW!B9="YES",R4=0),S4=0),"YES","NO"))</x:f>
        <x:v>YES</x:v>
      </x:c>
      <x:c r="U4" s="25" t="str"/>
    </x:row>
    <x:row r="5">
      <x:c r="A5" s="25" t="str">
        <x:v>D_BROADER</x:v>
      </x:c>
      <x:c r="B5" s="25" t="str">
        <x:v>BROADER</x:v>
      </x:c>
      <x:c r="C5" s="25" t="str">
        <x:v>D — Broader Internet</x:v>
      </x:c>
      <x:c r="D5" s="36" t="n">
        <x:v>1</x:v>
      </x:c>
      <x:c r="E5" s="36" t="n">
        <x:v>1</x:v>
      </x:c>
      <x:c r="F5" s="36" t="n">
        <x:v>1</x:v>
      </x:c>
      <x:c r="G5" s="36" t="n">
        <x:v>1</x:v>
      </x:c>
      <x:c r="H5" s="36" t="n">
        <x:v>1</x:v>
      </x:c>
      <x:c r="I5" s="36" t="n">
        <x:v>1</x:v>
      </x:c>
      <x:c r="J5" s="36" t="n">
        <x:v>1</x:v>
      </x:c>
      <x:c r="K5" s="48" t="n">
        <x:f>(D5*DESTINATIONS!G2+E5*DESTINATIONS!G3+F5*DESTINATIONS!G4+G5*DESTINATIONS!G5+H5*DESTINATIONS!G6+I5*DESTINATIONS!G7+J5*DESTINATIONS!G8)/SUM(DESTINATIONS!G2:G8)</x:f>
        <x:v>1</x:v>
      </x:c>
      <x:c r="L5" s="48" t="n">
        <x:f>(D5*DESTINATIONS!H2+E5*DESTINATIONS!H3+F5*DESTINATIONS!H4+G5*DESTINATIONS!H5+H5*DESTINATIONS!H6+I5*DESTINATIONS!H7+J5*DESTINATIONS!H8)/SUM(DESTINATIONS!H2:H8)</x:f>
        <x:v>1</x:v>
      </x:c>
      <x:c r="M5" s="42" t="n">
        <x:f>D5*DESTINATIONS!I2+E5*DESTINATIONS!I3+F5*DESTINATIONS!I4+G5*DESTINATIONS!I5+H5*DESTINATIONS!I6+I5*DESTINATIONS!I7+J5*DESTINATIONS!I8</x:f>
        <x:v>28</x:v>
      </x:c>
      <x:c r="N5" s="42" t="n">
        <x:f>IF(AND(D5=1,DESTINATIONS!G2=0),1,0)+IF(AND(E5=1,DESTINATIONS!G3=0),1,0)+IF(AND(F5=1,DESTINATIONS!G4=0),1,0)+IF(AND(G5=1,DESTINATIONS!G5=0),1,0)+IF(AND(H5=1,DESTINATIONS!G6=0),1,0)+IF(AND(I5=1,DESTINATIONS!G7=0),1,0)+IF(AND(J5=1,DESTINATIONS!G8=0),1,0)</x:f>
        <x:v>3</x:v>
      </x:c>
      <x:c r="O5" s="48" t="n">
        <x:f>UTILITY!B13</x:f>
        <x:v>1</x:v>
      </x:c>
      <x:c r="P5" s="42" t="n">
        <x:f>REACHABILITY!B102</x:f>
        <x:v>8</x:v>
      </x:c>
      <x:c r="Q5" s="42" t="n">
        <x:f>REACHABILITY!C102</x:f>
        <x:v>0</x:v>
      </x:c>
      <x:c r="R5" s="42" t="n">
        <x:f>CREDENTIALS!B3</x:f>
        <x:v>0</x:v>
      </x:c>
      <x:c r="S5" s="42" t="n">
        <x:f>CREDENTIALS!B4</x:f>
        <x:v>0</x:v>
      </x:c>
      <x:c r="T5" s="42" t="str">
        <x:f>IF(OR(NOT(ISNUMBER(R5)),NOT(ISNUMBER(S5)),CREDENTIALS!B5&gt;0),"NO — UNKNOWN",IF(AND(K5=1,L5&gt;=WORKFLOW!B6,O5&gt;=WORKFLOW!B5,P5&lt;=WORKFLOW!B7,Q5&lt;=WORKFLOW!B8,OR(WORKFLOW!B9="YES",R5=0),S5=0),"YES","NO"))</x:f>
        <x:v>NO</x:v>
      </x:c>
      <x:c r="U5" s="25" t="str">
        <x:f>IF(AND(O5&lt;=O4,M5&gt;M4,D5&gt;=D4,E5&gt;=E4,F5&gt;=F4,G5&gt;=G4,H5&gt;=H4,I5&gt;=I4,J5&gt;=J4),"C_SCOPED_AUTH","")</x:f>
        <x:v>C_SCOPED_AUTH</x:v>
      </x:c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</x:cols>
  <x:sheetData>
    <x:row r="1">
      <x:c r="A1" s="26" t="str">
        <x:v>Policy</x:v>
      </x:c>
      <x:c r="B1" s="26" t="str">
        <x:v>Data class</x:v>
      </x:c>
      <x:c r="C1" s="26" t="str">
        <x:v>Destination class</x:v>
      </x:c>
      <x:c r="D1" s="26" t="str">
        <x:v>State</x:v>
      </x:c>
      <x:c r="E1" s="26" t="str">
        <x:v>Prohibited pair?</x:v>
      </x:c>
      <x:c r="F1" s="26" t="str">
        <x:v>Autonomous reachable?</x:v>
      </x:c>
      <x:c r="G1" s="26" t="str">
        <x:v>Violation?</x:v>
      </x:c>
      <x:c r="H1" s="26" t="str">
        <x:v>Unknown?</x:v>
      </x:c>
      <x:c r="I1" s="26" t="str">
        <x:v>Note</x:v>
      </x:c>
    </x:row>
    <x:row r="2">
      <x:c r="A2" s="25" t="str">
        <x:v>C_SCOPED_AUTH</x:v>
      </x:c>
      <x:c r="B2" s="25" t="str">
        <x:v>PUBLIC</x:v>
      </x:c>
      <x:c r="C2" s="25" t="str">
        <x:v>DOCS</x:v>
      </x:c>
      <x:c r="D2" s="25" t="str">
        <x:v>ALLOWED</x:v>
      </x:c>
      <x:c r="E2" s="25" t="str">
        <x:v>NO</x:v>
      </x:c>
      <x:c r="F2" s="42" t="str">
        <x:f>IF(D2="ALLOWED","YES",IF(D2="UNKNOWN","UNKNOWN","NO"))</x:f>
        <x:v>YES</x:v>
      </x:c>
      <x:c r="G2" s="42" t="n">
        <x:f>IF(AND(E2="YES",F2="YES"),1,0)</x:f>
        <x:v>0</x:v>
      </x:c>
      <x:c r="H2" s="42" t="n">
        <x:f>IF(D2="UNKNOWN",1,0)</x:f>
        <x:v>0</x:v>
      </x:c>
      <x:c r="I2" s="25" t="str">
        <x:v>Scenario policy matrix</x:v>
      </x:c>
    </x:row>
    <x:row r="3">
      <x:c r="A3" s="25" t="str">
        <x:v>C_SCOPED_AUTH</x:v>
      </x:c>
      <x:c r="B3" s="25" t="str">
        <x:v>PUBLIC</x:v>
      </x:c>
      <x:c r="C3" s="25" t="str">
        <x:v>REGISTRY</x:v>
      </x:c>
      <x:c r="D3" s="25" t="str">
        <x:v>ALLOWED</x:v>
      </x:c>
      <x:c r="E3" s="25" t="str">
        <x:v>NO</x:v>
      </x:c>
      <x:c r="F3" s="42" t="str">
        <x:f>IF(D3="ALLOWED","YES",IF(D3="UNKNOWN","UNKNOWN","NO"))</x:f>
        <x:v>YES</x:v>
      </x:c>
      <x:c r="G3" s="42" t="n">
        <x:f>IF(AND(E3="YES",F3="YES"),1,0)</x:f>
        <x:v>0</x:v>
      </x:c>
      <x:c r="H3" s="42" t="n">
        <x:f>IF(D3="UNKNOWN",1,0)</x:f>
        <x:v>0</x:v>
      </x:c>
      <x:c r="I3" s="25" t="str">
        <x:v>Scenario policy matrix</x:v>
      </x:c>
    </x:row>
    <x:row r="4">
      <x:c r="A4" s="25" t="str">
        <x:v>C_SCOPED_AUTH</x:v>
      </x:c>
      <x:c r="B4" s="25" t="str">
        <x:v>PUBLIC</x:v>
      </x:c>
      <x:c r="C4" s="25" t="str">
        <x:v>SOURCE_CONTROL</x:v>
      </x:c>
      <x:c r="D4" s="25" t="str">
        <x:v>ALLOWED</x:v>
      </x:c>
      <x:c r="E4" s="25" t="str">
        <x:v>NO</x:v>
      </x:c>
      <x:c r="F4" s="42" t="str">
        <x:f>IF(D4="ALLOWED","YES",IF(D4="UNKNOWN","UNKNOWN","NO"))</x:f>
        <x:v>YES</x:v>
      </x:c>
      <x:c r="G4" s="42" t="n">
        <x:f>IF(AND(E4="YES",F4="YES"),1,0)</x:f>
        <x:v>0</x:v>
      </x:c>
      <x:c r="H4" s="42" t="n">
        <x:f>IF(D4="UNKNOWN",1,0)</x:f>
        <x:v>0</x:v>
      </x:c>
      <x:c r="I4" s="25" t="str">
        <x:v>Scenario policy matrix</x:v>
      </x:c>
    </x:row>
    <x:row r="5">
      <x:c r="A5" s="25" t="str">
        <x:v>C_SCOPED_AUTH</x:v>
      </x:c>
      <x:c r="B5" s="25" t="str">
        <x:v>PUBLIC</x:v>
      </x:c>
      <x:c r="C5" s="25" t="str">
        <x:v>INTERNAL_CI</x:v>
      </x:c>
      <x:c r="D5" s="25" t="str">
        <x:v>BLOCKED</x:v>
      </x:c>
      <x:c r="E5" s="25" t="str">
        <x:v>NO</x:v>
      </x:c>
      <x:c r="F5" s="42" t="str">
        <x:f>IF(D5="ALLOWED","YES",IF(D5="UNKNOWN","UNKNOWN","NO"))</x:f>
        <x:v>NO</x:v>
      </x:c>
      <x:c r="G5" s="42" t="n">
        <x:f>IF(AND(E5="YES",F5="YES"),1,0)</x:f>
        <x:v>0</x:v>
      </x:c>
      <x:c r="H5" s="42" t="n">
        <x:f>IF(D5="UNKNOWN",1,0)</x:f>
        <x:v>0</x:v>
      </x:c>
      <x:c r="I5" s="25" t="str">
        <x:v>Scenario policy matrix</x:v>
      </x:c>
    </x:row>
    <x:row r="6">
      <x:c r="A6" s="25" t="str">
        <x:v>C_SCOPED_AUTH</x:v>
      </x:c>
      <x:c r="B6" s="25" t="str">
        <x:v>PUBLIC</x:v>
      </x:c>
      <x:c r="C6" s="25" t="str">
        <x:v>ARBITRARY_EXTERNAL</x:v>
      </x:c>
      <x:c r="D6" s="25" t="str">
        <x:v>BLOCKED</x:v>
      </x:c>
      <x:c r="E6" s="25" t="str">
        <x:v>NO</x:v>
      </x:c>
      <x:c r="F6" s="42" t="str">
        <x:f>IF(D6="ALLOWED","YES",IF(D6="UNKNOWN","UNKNOWN","NO"))</x:f>
        <x:v>NO</x:v>
      </x:c>
      <x:c r="G6" s="42" t="n">
        <x:f>IF(AND(E6="YES",F6="YES"),1,0)</x:f>
        <x:v>0</x:v>
      </x:c>
      <x:c r="H6" s="42" t="n">
        <x:f>IF(D6="UNKNOWN",1,0)</x:f>
        <x:v>0</x:v>
      </x:c>
      <x:c r="I6" s="25" t="str">
        <x:v>Scenario policy matrix</x:v>
      </x:c>
    </x:row>
    <x:row r="7">
      <x:c r="A7" s="25" t="str">
        <x:v>C_SCOPED_AUTH</x:v>
      </x:c>
      <x:c r="B7" s="25" t="str">
        <x:v>PUBLIC</x:v>
      </x:c>
      <x:c r="C7" s="25" t="str">
        <x:v>USER_CONTROLLED</x:v>
      </x:c>
      <x:c r="D7" s="25" t="str">
        <x:v>BLOCKED</x:v>
      </x:c>
      <x:c r="E7" s="25" t="str">
        <x:v>NO</x:v>
      </x:c>
      <x:c r="F7" s="42" t="str">
        <x:f>IF(D7="ALLOWED","YES",IF(D7="UNKNOWN","UNKNOWN","NO"))</x:f>
        <x:v>NO</x:v>
      </x:c>
      <x:c r="G7" s="42" t="n">
        <x:f>IF(AND(E7="YES",F7="YES"),1,0)</x:f>
        <x:v>0</x:v>
      </x:c>
      <x:c r="H7" s="42" t="n">
        <x:f>IF(D7="UNKNOWN",1,0)</x:f>
        <x:v>0</x:v>
      </x:c>
      <x:c r="I7" s="25" t="str">
        <x:v>Scenario policy matrix</x:v>
      </x:c>
    </x:row>
    <x:row r="8">
      <x:c r="A8" s="25" t="str">
        <x:v>C_SCOPED_AUTH</x:v>
      </x:c>
      <x:c r="B8" s="25" t="str">
        <x:v>WORKSPACE_SOURCE</x:v>
      </x:c>
      <x:c r="C8" s="25" t="str">
        <x:v>DOCS</x:v>
      </x:c>
      <x:c r="D8" s="25" t="str">
        <x:v>BLOCKED</x:v>
      </x:c>
      <x:c r="E8" s="25" t="str">
        <x:v>YES</x:v>
      </x:c>
      <x:c r="F8" s="42" t="str">
        <x:f>IF(D8="ALLOWED","YES",IF(D8="UNKNOWN","UNKNOWN","NO"))</x:f>
        <x:v>NO</x:v>
      </x:c>
      <x:c r="G8" s="42" t="n">
        <x:f>IF(AND(E8="YES",F8="YES"),1,0)</x:f>
        <x:v>0</x:v>
      </x:c>
      <x:c r="H8" s="42" t="n">
        <x:f>IF(D8="UNKNOWN",1,0)</x:f>
        <x:v>0</x:v>
      </x:c>
      <x:c r="I8" s="25" t="str">
        <x:v>Scenario policy matrix</x:v>
      </x:c>
    </x:row>
    <x:row r="9">
      <x:c r="A9" s="25" t="str">
        <x:v>C_SCOPED_AUTH</x:v>
      </x:c>
      <x:c r="B9" s="25" t="str">
        <x:v>WORKSPACE_SOURCE</x:v>
      </x:c>
      <x:c r="C9" s="25" t="str">
        <x:v>REGISTRY</x:v>
      </x:c>
      <x:c r="D9" s="25" t="str">
        <x:v>BLOCKED</x:v>
      </x:c>
      <x:c r="E9" s="25" t="str">
        <x:v>YES</x:v>
      </x:c>
      <x:c r="F9" s="42" t="str">
        <x:f>IF(D9="ALLOWED","YES",IF(D9="UNKNOWN","UNKNOWN","NO"))</x:f>
        <x:v>NO</x:v>
      </x:c>
      <x:c r="G9" s="42" t="n">
        <x:f>IF(AND(E9="YES",F9="YES"),1,0)</x:f>
        <x:v>0</x:v>
      </x:c>
      <x:c r="H9" s="42" t="n">
        <x:f>IF(D9="UNKNOWN",1,0)</x:f>
        <x:v>0</x:v>
      </x:c>
      <x:c r="I9" s="25" t="str">
        <x:v>Scenario policy matrix</x:v>
      </x:c>
    </x:row>
    <x:row r="10">
      <x:c r="A10" s="25" t="str">
        <x:v>C_SCOPED_AUTH</x:v>
      </x:c>
      <x:c r="B10" s="25" t="str">
        <x:v>WORKSPACE_SOURCE</x:v>
      </x:c>
      <x:c r="C10" s="25" t="str">
        <x:v>SOURCE_CONTROL</x:v>
      </x:c>
      <x:c r="D10" s="25" t="str">
        <x:v>BLOCKED</x:v>
      </x:c>
      <x:c r="E10" s="25" t="str">
        <x:v>YES</x:v>
      </x:c>
      <x:c r="F10" s="42" t="str">
        <x:f>IF(D10="ALLOWED","YES",IF(D10="UNKNOWN","UNKNOWN","NO"))</x:f>
        <x:v>NO</x:v>
      </x:c>
      <x:c r="G10" s="42" t="n">
        <x:f>IF(AND(E10="YES",F10="YES"),1,0)</x:f>
        <x:v>0</x:v>
      </x:c>
      <x:c r="H10" s="42" t="n">
        <x:f>IF(D10="UNKNOWN",1,0)</x:f>
        <x:v>0</x:v>
      </x:c>
      <x:c r="I10" s="25" t="str">
        <x:v>Scenario policy matrix</x:v>
      </x:c>
    </x:row>
    <x:row r="11">
      <x:c r="A11" s="25" t="str">
        <x:v>C_SCOPED_AUTH</x:v>
      </x:c>
      <x:c r="B11" s="25" t="str">
        <x:v>WORKSPACE_SOURCE</x:v>
      </x:c>
      <x:c r="C11" s="25" t="str">
        <x:v>INTERNAL_CI</x:v>
      </x:c>
      <x:c r="D11" s="25" t="str">
        <x:v>BLOCKED</x:v>
      </x:c>
      <x:c r="E11" s="25" t="str">
        <x:v>NO</x:v>
      </x:c>
      <x:c r="F11" s="42" t="str">
        <x:f>IF(D11="ALLOWED","YES",IF(D11="UNKNOWN","UNKNOWN","NO"))</x:f>
        <x:v>NO</x:v>
      </x:c>
      <x:c r="G11" s="42" t="n">
        <x:f>IF(AND(E11="YES",F11="YES"),1,0)</x:f>
        <x:v>0</x:v>
      </x:c>
      <x:c r="H11" s="42" t="n">
        <x:f>IF(D11="UNKNOWN",1,0)</x:f>
        <x:v>0</x:v>
      </x:c>
      <x:c r="I11" s="25" t="str">
        <x:v>Scenario policy matrix</x:v>
      </x:c>
    </x:row>
    <x:row r="12">
      <x:c r="A12" s="25" t="str">
        <x:v>C_SCOPED_AUTH</x:v>
      </x:c>
      <x:c r="B12" s="25" t="str">
        <x:v>WORKSPACE_SOURCE</x:v>
      </x:c>
      <x:c r="C12" s="25" t="str">
        <x:v>ARBITRARY_EXTERNAL</x:v>
      </x:c>
      <x:c r="D12" s="25" t="str">
        <x:v>BLOCKED</x:v>
      </x:c>
      <x:c r="E12" s="25" t="str">
        <x:v>YES</x:v>
      </x:c>
      <x:c r="F12" s="42" t="str">
        <x:f>IF(D12="ALLOWED","YES",IF(D12="UNKNOWN","UNKNOWN","NO"))</x:f>
        <x:v>NO</x:v>
      </x:c>
      <x:c r="G12" s="42" t="n">
        <x:f>IF(AND(E12="YES",F12="YES"),1,0)</x:f>
        <x:v>0</x:v>
      </x:c>
      <x:c r="H12" s="42" t="n">
        <x:f>IF(D12="UNKNOWN",1,0)</x:f>
        <x:v>0</x:v>
      </x:c>
      <x:c r="I12" s="25" t="str">
        <x:v>Scenario policy matrix</x:v>
      </x:c>
    </x:row>
    <x:row r="13">
      <x:c r="A13" s="25" t="str">
        <x:v>C_SCOPED_AUTH</x:v>
      </x:c>
      <x:c r="B13" s="25" t="str">
        <x:v>WORKSPACE_SOURCE</x:v>
      </x:c>
      <x:c r="C13" s="25" t="str">
        <x:v>USER_CONTROLLED</x:v>
      </x:c>
      <x:c r="D13" s="25" t="str">
        <x:v>BLOCKED</x:v>
      </x:c>
      <x:c r="E13" s="25" t="str">
        <x:v>YES</x:v>
      </x:c>
      <x:c r="F13" s="42" t="str">
        <x:f>IF(D13="ALLOWED","YES",IF(D13="UNKNOWN","UNKNOWN","NO"))</x:f>
        <x:v>NO</x:v>
      </x:c>
      <x:c r="G13" s="42" t="n">
        <x:f>IF(AND(E13="YES",F13="YES"),1,0)</x:f>
        <x:v>0</x:v>
      </x:c>
      <x:c r="H13" s="42" t="n">
        <x:f>IF(D13="UNKNOWN",1,0)</x:f>
        <x:v>0</x:v>
      </x:c>
      <x:c r="I13" s="25" t="str">
        <x:v>Scenario policy matrix</x:v>
      </x:c>
    </x:row>
    <x:row r="14">
      <x:c r="A14" s="25" t="str">
        <x:v>C_SCOPED_AUTH</x:v>
      </x:c>
      <x:c r="B14" s="25" t="str">
        <x:v>PROPRIETARY_SOURCE</x:v>
      </x:c>
      <x:c r="C14" s="25" t="str">
        <x:v>DOCS</x:v>
      </x:c>
      <x:c r="D14" s="25" t="str">
        <x:v>BLOCKED</x:v>
      </x:c>
      <x:c r="E14" s="25" t="str">
        <x:v>YES</x:v>
      </x:c>
      <x:c r="F14" s="42" t="str">
        <x:f>IF(D14="ALLOWED","YES",IF(D14="UNKNOWN","UNKNOWN","NO"))</x:f>
        <x:v>NO</x:v>
      </x:c>
      <x:c r="G14" s="42" t="n">
        <x:f>IF(AND(E14="YES",F14="YES"),1,0)</x:f>
        <x:v>0</x:v>
      </x:c>
      <x:c r="H14" s="42" t="n">
        <x:f>IF(D14="UNKNOWN",1,0)</x:f>
        <x:v>0</x:v>
      </x:c>
      <x:c r="I14" s="25" t="str">
        <x:v>Scenario policy matrix</x:v>
      </x:c>
    </x:row>
    <x:row r="15">
      <x:c r="A15" s="25" t="str">
        <x:v>C_SCOPED_AUTH</x:v>
      </x:c>
      <x:c r="B15" s="25" t="str">
        <x:v>PROPRIETARY_SOURCE</x:v>
      </x:c>
      <x:c r="C15" s="25" t="str">
        <x:v>REGISTRY</x:v>
      </x:c>
      <x:c r="D15" s="25" t="str">
        <x:v>BLOCKED</x:v>
      </x:c>
      <x:c r="E15" s="25" t="str">
        <x:v>YES</x:v>
      </x:c>
      <x:c r="F15" s="42" t="str">
        <x:f>IF(D15="ALLOWED","YES",IF(D15="UNKNOWN","UNKNOWN","NO"))</x:f>
        <x:v>NO</x:v>
      </x:c>
      <x:c r="G15" s="42" t="n">
        <x:f>IF(AND(E15="YES",F15="YES"),1,0)</x:f>
        <x:v>0</x:v>
      </x:c>
      <x:c r="H15" s="42" t="n">
        <x:f>IF(D15="UNKNOWN",1,0)</x:f>
        <x:v>0</x:v>
      </x:c>
      <x:c r="I15" s="25" t="str">
        <x:v>Scenario policy matrix</x:v>
      </x:c>
    </x:row>
    <x:row r="16">
      <x:c r="A16" s="25" t="str">
        <x:v>C_SCOPED_AUTH</x:v>
      </x:c>
      <x:c r="B16" s="25" t="str">
        <x:v>PROPRIETARY_SOURCE</x:v>
      </x:c>
      <x:c r="C16" s="25" t="str">
        <x:v>SOURCE_CONTROL</x:v>
      </x:c>
      <x:c r="D16" s="25" t="str">
        <x:v>BLOCKED</x:v>
      </x:c>
      <x:c r="E16" s="25" t="str">
        <x:v>YES</x:v>
      </x:c>
      <x:c r="F16" s="42" t="str">
        <x:f>IF(D16="ALLOWED","YES",IF(D16="UNKNOWN","UNKNOWN","NO"))</x:f>
        <x:v>NO</x:v>
      </x:c>
      <x:c r="G16" s="42" t="n">
        <x:f>IF(AND(E16="YES",F16="YES"),1,0)</x:f>
        <x:v>0</x:v>
      </x:c>
      <x:c r="H16" s="42" t="n">
        <x:f>IF(D16="UNKNOWN",1,0)</x:f>
        <x:v>0</x:v>
      </x:c>
      <x:c r="I16" s="25" t="str">
        <x:v>Scenario policy matrix</x:v>
      </x:c>
    </x:row>
    <x:row r="17">
      <x:c r="A17" s="25" t="str">
        <x:v>C_SCOPED_AUTH</x:v>
      </x:c>
      <x:c r="B17" s="25" t="str">
        <x:v>PROPRIETARY_SOURCE</x:v>
      </x:c>
      <x:c r="C17" s="25" t="str">
        <x:v>INTERNAL_CI</x:v>
      </x:c>
      <x:c r="D17" s="25" t="str">
        <x:v>BLOCKED</x:v>
      </x:c>
      <x:c r="E17" s="25" t="str">
        <x:v>NO</x:v>
      </x:c>
      <x:c r="F17" s="42" t="str">
        <x:f>IF(D17="ALLOWED","YES",IF(D17="UNKNOWN","UNKNOWN","NO"))</x:f>
        <x:v>NO</x:v>
      </x:c>
      <x:c r="G17" s="42" t="n">
        <x:f>IF(AND(E17="YES",F17="YES"),1,0)</x:f>
        <x:v>0</x:v>
      </x:c>
      <x:c r="H17" s="42" t="n">
        <x:f>IF(D17="UNKNOWN",1,0)</x:f>
        <x:v>0</x:v>
      </x:c>
      <x:c r="I17" s="25" t="str">
        <x:v>Scenario policy matrix</x:v>
      </x:c>
    </x:row>
    <x:row r="18">
      <x:c r="A18" s="25" t="str">
        <x:v>C_SCOPED_AUTH</x:v>
      </x:c>
      <x:c r="B18" s="25" t="str">
        <x:v>PROPRIETARY_SOURCE</x:v>
      </x:c>
      <x:c r="C18" s="25" t="str">
        <x:v>ARBITRARY_EXTERNAL</x:v>
      </x:c>
      <x:c r="D18" s="25" t="str">
        <x:v>BLOCKED</x:v>
      </x:c>
      <x:c r="E18" s="25" t="str">
        <x:v>YES</x:v>
      </x:c>
      <x:c r="F18" s="42" t="str">
        <x:f>IF(D18="ALLOWED","YES",IF(D18="UNKNOWN","UNKNOWN","NO"))</x:f>
        <x:v>NO</x:v>
      </x:c>
      <x:c r="G18" s="42" t="n">
        <x:f>IF(AND(E18="YES",F18="YES"),1,0)</x:f>
        <x:v>0</x:v>
      </x:c>
      <x:c r="H18" s="42" t="n">
        <x:f>IF(D18="UNKNOWN",1,0)</x:f>
        <x:v>0</x:v>
      </x:c>
      <x:c r="I18" s="25" t="str">
        <x:v>Scenario policy matrix</x:v>
      </x:c>
    </x:row>
    <x:row r="19">
      <x:c r="A19" s="25" t="str">
        <x:v>C_SCOPED_AUTH</x:v>
      </x:c>
      <x:c r="B19" s="25" t="str">
        <x:v>PROPRIETARY_SOURCE</x:v>
      </x:c>
      <x:c r="C19" s="25" t="str">
        <x:v>USER_CONTROLLED</x:v>
      </x:c>
      <x:c r="D19" s="25" t="str">
        <x:v>BLOCKED</x:v>
      </x:c>
      <x:c r="E19" s="25" t="str">
        <x:v>YES</x:v>
      </x:c>
      <x:c r="F19" s="42" t="str">
        <x:f>IF(D19="ALLOWED","YES",IF(D19="UNKNOWN","UNKNOWN","NO"))</x:f>
        <x:v>NO</x:v>
      </x:c>
      <x:c r="G19" s="42" t="n">
        <x:f>IF(AND(E19="YES",F19="YES"),1,0)</x:f>
        <x:v>0</x:v>
      </x:c>
      <x:c r="H19" s="42" t="n">
        <x:f>IF(D19="UNKNOWN",1,0)</x:f>
        <x:v>0</x:v>
      </x:c>
      <x:c r="I19" s="25" t="str">
        <x:v>Scenario policy matrix</x:v>
      </x:c>
    </x:row>
    <x:row r="20">
      <x:c r="A20" s="25" t="str">
        <x:v>C_SCOPED_AUTH</x:v>
      </x:c>
      <x:c r="B20" s="25" t="str">
        <x:v>BUILD_ARTIFACTS</x:v>
      </x:c>
      <x:c r="C20" s="25" t="str">
        <x:v>DOCS</x:v>
      </x:c>
      <x:c r="D20" s="25" t="str">
        <x:v>BLOCKED</x:v>
      </x:c>
      <x:c r="E20" s="25" t="str">
        <x:v>NO</x:v>
      </x:c>
      <x:c r="F20" s="42" t="str">
        <x:f>IF(D20="ALLOWED","YES",IF(D20="UNKNOWN","UNKNOWN","NO"))</x:f>
        <x:v>NO</x:v>
      </x:c>
      <x:c r="G20" s="42" t="n">
        <x:f>IF(AND(E20="YES",F20="YES"),1,0)</x:f>
        <x:v>0</x:v>
      </x:c>
      <x:c r="H20" s="42" t="n">
        <x:f>IF(D20="UNKNOWN",1,0)</x:f>
        <x:v>0</x:v>
      </x:c>
      <x:c r="I20" s="25" t="str">
        <x:v>Scenario policy matrix</x:v>
      </x:c>
    </x:row>
    <x:row r="21">
      <x:c r="A21" s="25" t="str">
        <x:v>C_SCOPED_AUTH</x:v>
      </x:c>
      <x:c r="B21" s="25" t="str">
        <x:v>BUILD_ARTIFACTS</x:v>
      </x:c>
      <x:c r="C21" s="25" t="str">
        <x:v>REGISTRY</x:v>
      </x:c>
      <x:c r="D21" s="25" t="str">
        <x:v>BLOCKED</x:v>
      </x:c>
      <x:c r="E21" s="25" t="str">
        <x:v>NO</x:v>
      </x:c>
      <x:c r="F21" s="42" t="str">
        <x:f>IF(D21="ALLOWED","YES",IF(D21="UNKNOWN","UNKNOWN","NO"))</x:f>
        <x:v>NO</x:v>
      </x:c>
      <x:c r="G21" s="42" t="n">
        <x:f>IF(AND(E21="YES",F21="YES"),1,0)</x:f>
        <x:v>0</x:v>
      </x:c>
      <x:c r="H21" s="42" t="n">
        <x:f>IF(D21="UNKNOWN",1,0)</x:f>
        <x:v>0</x:v>
      </x:c>
      <x:c r="I21" s="25" t="str">
        <x:v>Scenario policy matrix</x:v>
      </x:c>
    </x:row>
    <x:row r="22">
      <x:c r="A22" s="25" t="str">
        <x:v>C_SCOPED_AUTH</x:v>
      </x:c>
      <x:c r="B22" s="25" t="str">
        <x:v>BUILD_ARTIFACTS</x:v>
      </x:c>
      <x:c r="C22" s="25" t="str">
        <x:v>SOURCE_CONTROL</x:v>
      </x:c>
      <x:c r="D22" s="25" t="str">
        <x:v>BLOCKED</x:v>
      </x:c>
      <x:c r="E22" s="25" t="str">
        <x:v>NO</x:v>
      </x:c>
      <x:c r="F22" s="42" t="str">
        <x:f>IF(D22="ALLOWED","YES",IF(D22="UNKNOWN","UNKNOWN","NO"))</x:f>
        <x:v>NO</x:v>
      </x:c>
      <x:c r="G22" s="42" t="n">
        <x:f>IF(AND(E22="YES",F22="YES"),1,0)</x:f>
        <x:v>0</x:v>
      </x:c>
      <x:c r="H22" s="42" t="n">
        <x:f>IF(D22="UNKNOWN",1,0)</x:f>
        <x:v>0</x:v>
      </x:c>
      <x:c r="I22" s="25" t="str">
        <x:v>Scenario policy matrix</x:v>
      </x:c>
    </x:row>
    <x:row r="23">
      <x:c r="A23" s="25" t="str">
        <x:v>C_SCOPED_AUTH</x:v>
      </x:c>
      <x:c r="B23" s="25" t="str">
        <x:v>BUILD_ARTIFACTS</x:v>
      </x:c>
      <x:c r="C23" s="25" t="str">
        <x:v>INTERNAL_CI</x:v>
      </x:c>
      <x:c r="D23" s="25" t="str">
        <x:v>ALLOWED</x:v>
      </x:c>
      <x:c r="E23" s="25" t="str">
        <x:v>NO</x:v>
      </x:c>
      <x:c r="F23" s="42" t="str">
        <x:f>IF(D23="ALLOWED","YES",IF(D23="UNKNOWN","UNKNOWN","NO"))</x:f>
        <x:v>YES</x:v>
      </x:c>
      <x:c r="G23" s="42" t="n">
        <x:f>IF(AND(E23="YES",F23="YES"),1,0)</x:f>
        <x:v>0</x:v>
      </x:c>
      <x:c r="H23" s="42" t="n">
        <x:f>IF(D23="UNKNOWN",1,0)</x:f>
        <x:v>0</x:v>
      </x:c>
      <x:c r="I23" s="25" t="str">
        <x:v>Scenario policy matrix</x:v>
      </x:c>
    </x:row>
    <x:row r="24">
      <x:c r="A24" s="25" t="str">
        <x:v>C_SCOPED_AUTH</x:v>
      </x:c>
      <x:c r="B24" s="25" t="str">
        <x:v>BUILD_ARTIFACTS</x:v>
      </x:c>
      <x:c r="C24" s="25" t="str">
        <x:v>ARBITRARY_EXTERNAL</x:v>
      </x:c>
      <x:c r="D24" s="25" t="str">
        <x:v>BLOCKED</x:v>
      </x:c>
      <x:c r="E24" s="25" t="str">
        <x:v>YES</x:v>
      </x:c>
      <x:c r="F24" s="42" t="str">
        <x:f>IF(D24="ALLOWED","YES",IF(D24="UNKNOWN","UNKNOWN","NO"))</x:f>
        <x:v>NO</x:v>
      </x:c>
      <x:c r="G24" s="42" t="n">
        <x:f>IF(AND(E24="YES",F24="YES"),1,0)</x:f>
        <x:v>0</x:v>
      </x:c>
      <x:c r="H24" s="42" t="n">
        <x:f>IF(D24="UNKNOWN",1,0)</x:f>
        <x:v>0</x:v>
      </x:c>
      <x:c r="I24" s="25" t="str">
        <x:v>Scenario policy matrix</x:v>
      </x:c>
    </x:row>
    <x:row r="25">
      <x:c r="A25" s="25" t="str">
        <x:v>C_SCOPED_AUTH</x:v>
      </x:c>
      <x:c r="B25" s="25" t="str">
        <x:v>BUILD_ARTIFACTS</x:v>
      </x:c>
      <x:c r="C25" s="25" t="str">
        <x:v>USER_CONTROLLED</x:v>
      </x:c>
      <x:c r="D25" s="25" t="str">
        <x:v>BLOCKED</x:v>
      </x:c>
      <x:c r="E25" s="25" t="str">
        <x:v>YES</x:v>
      </x:c>
      <x:c r="F25" s="42" t="str">
        <x:f>IF(D25="ALLOWED","YES",IF(D25="UNKNOWN","UNKNOWN","NO"))</x:f>
        <x:v>NO</x:v>
      </x:c>
      <x:c r="G25" s="42" t="n">
        <x:f>IF(AND(E25="YES",F25="YES"),1,0)</x:f>
        <x:v>0</x:v>
      </x:c>
      <x:c r="H25" s="42" t="n">
        <x:f>IF(D25="UNKNOWN",1,0)</x:f>
        <x:v>0</x:v>
      </x:c>
      <x:c r="I25" s="25" t="str">
        <x:v>Scenario policy matrix</x:v>
      </x:c>
    </x:row>
    <x:row r="26">
      <x:c r="A26" s="25" t="str">
        <x:v>C_SCOPED_AUTH</x:v>
      </x:c>
      <x:c r="B26" s="25" t="str">
        <x:v>LOGS</x:v>
      </x:c>
      <x:c r="C26" s="25" t="str">
        <x:v>DOCS</x:v>
      </x:c>
      <x:c r="D26" s="25" t="str">
        <x:v>BLOCKED</x:v>
      </x:c>
      <x:c r="E26" s="25" t="str">
        <x:v>NO</x:v>
      </x:c>
      <x:c r="F26" s="42" t="str">
        <x:f>IF(D26="ALLOWED","YES",IF(D26="UNKNOWN","UNKNOWN","NO"))</x:f>
        <x:v>NO</x:v>
      </x:c>
      <x:c r="G26" s="42" t="n">
        <x:f>IF(AND(E26="YES",F26="YES"),1,0)</x:f>
        <x:v>0</x:v>
      </x:c>
      <x:c r="H26" s="42" t="n">
        <x:f>IF(D26="UNKNOWN",1,0)</x:f>
        <x:v>0</x:v>
      </x:c>
      <x:c r="I26" s="25" t="str">
        <x:v>Scenario policy matrix</x:v>
      </x:c>
    </x:row>
    <x:row r="27">
      <x:c r="A27" s="25" t="str">
        <x:v>C_SCOPED_AUTH</x:v>
      </x:c>
      <x:c r="B27" s="25" t="str">
        <x:v>LOGS</x:v>
      </x:c>
      <x:c r="C27" s="25" t="str">
        <x:v>REGISTRY</x:v>
      </x:c>
      <x:c r="D27" s="25" t="str">
        <x:v>BLOCKED</x:v>
      </x:c>
      <x:c r="E27" s="25" t="str">
        <x:v>NO</x:v>
      </x:c>
      <x:c r="F27" s="42" t="str">
        <x:f>IF(D27="ALLOWED","YES",IF(D27="UNKNOWN","UNKNOWN","NO"))</x:f>
        <x:v>NO</x:v>
      </x:c>
      <x:c r="G27" s="42" t="n">
        <x:f>IF(AND(E27="YES",F27="YES"),1,0)</x:f>
        <x:v>0</x:v>
      </x:c>
      <x:c r="H27" s="42" t="n">
        <x:f>IF(D27="UNKNOWN",1,0)</x:f>
        <x:v>0</x:v>
      </x:c>
      <x:c r="I27" s="25" t="str">
        <x:v>Scenario policy matrix</x:v>
      </x:c>
    </x:row>
    <x:row r="28">
      <x:c r="A28" s="25" t="str">
        <x:v>C_SCOPED_AUTH</x:v>
      </x:c>
      <x:c r="B28" s="25" t="str">
        <x:v>LOGS</x:v>
      </x:c>
      <x:c r="C28" s="25" t="str">
        <x:v>SOURCE_CONTROL</x:v>
      </x:c>
      <x:c r="D28" s="25" t="str">
        <x:v>BLOCKED</x:v>
      </x:c>
      <x:c r="E28" s="25" t="str">
        <x:v>NO</x:v>
      </x:c>
      <x:c r="F28" s="42" t="str">
        <x:f>IF(D28="ALLOWED","YES",IF(D28="UNKNOWN","UNKNOWN","NO"))</x:f>
        <x:v>NO</x:v>
      </x:c>
      <x:c r="G28" s="42" t="n">
        <x:f>IF(AND(E28="YES",F28="YES"),1,0)</x:f>
        <x:v>0</x:v>
      </x:c>
      <x:c r="H28" s="42" t="n">
        <x:f>IF(D28="UNKNOWN",1,0)</x:f>
        <x:v>0</x:v>
      </x:c>
      <x:c r="I28" s="25" t="str">
        <x:v>Scenario policy matrix</x:v>
      </x:c>
    </x:row>
    <x:row r="29">
      <x:c r="A29" s="25" t="str">
        <x:v>C_SCOPED_AUTH</x:v>
      </x:c>
      <x:c r="B29" s="25" t="str">
        <x:v>LOGS</x:v>
      </x:c>
      <x:c r="C29" s="25" t="str">
        <x:v>INTERNAL_CI</x:v>
      </x:c>
      <x:c r="D29" s="25" t="str">
        <x:v>BLOCKED</x:v>
      </x:c>
      <x:c r="E29" s="25" t="str">
        <x:v>NO</x:v>
      </x:c>
      <x:c r="F29" s="42" t="str">
        <x:f>IF(D29="ALLOWED","YES",IF(D29="UNKNOWN","UNKNOWN","NO"))</x:f>
        <x:v>NO</x:v>
      </x:c>
      <x:c r="G29" s="42" t="n">
        <x:f>IF(AND(E29="YES",F29="YES"),1,0)</x:f>
        <x:v>0</x:v>
      </x:c>
      <x:c r="H29" s="42" t="n">
        <x:f>IF(D29="UNKNOWN",1,0)</x:f>
        <x:v>0</x:v>
      </x:c>
      <x:c r="I29" s="25" t="str">
        <x:v>Scenario policy matrix</x:v>
      </x:c>
    </x:row>
    <x:row r="30">
      <x:c r="A30" s="25" t="str">
        <x:v>C_SCOPED_AUTH</x:v>
      </x:c>
      <x:c r="B30" s="25" t="str">
        <x:v>LOGS</x:v>
      </x:c>
      <x:c r="C30" s="25" t="str">
        <x:v>ARBITRARY_EXTERNAL</x:v>
      </x:c>
      <x:c r="D30" s="25" t="str">
        <x:v>BLOCKED</x:v>
      </x:c>
      <x:c r="E30" s="25" t="str">
        <x:v>YES</x:v>
      </x:c>
      <x:c r="F30" s="42" t="str">
        <x:f>IF(D30="ALLOWED","YES",IF(D30="UNKNOWN","UNKNOWN","NO"))</x:f>
        <x:v>NO</x:v>
      </x:c>
      <x:c r="G30" s="42" t="n">
        <x:f>IF(AND(E30="YES",F30="YES"),1,0)</x:f>
        <x:v>0</x:v>
      </x:c>
      <x:c r="H30" s="42" t="n">
        <x:f>IF(D30="UNKNOWN",1,0)</x:f>
        <x:v>0</x:v>
      </x:c>
      <x:c r="I30" s="25" t="str">
        <x:v>Scenario policy matrix</x:v>
      </x:c>
    </x:row>
    <x:row r="31">
      <x:c r="A31" s="25" t="str">
        <x:v>C_SCOPED_AUTH</x:v>
      </x:c>
      <x:c r="B31" s="25" t="str">
        <x:v>LOGS</x:v>
      </x:c>
      <x:c r="C31" s="25" t="str">
        <x:v>USER_CONTROLLED</x:v>
      </x:c>
      <x:c r="D31" s="25" t="str">
        <x:v>BLOCKED</x:v>
      </x:c>
      <x:c r="E31" s="25" t="str">
        <x:v>YES</x:v>
      </x:c>
      <x:c r="F31" s="42" t="str">
        <x:f>IF(D31="ALLOWED","YES",IF(D31="UNKNOWN","UNKNOWN","NO"))</x:f>
        <x:v>NO</x:v>
      </x:c>
      <x:c r="G31" s="42" t="n">
        <x:f>IF(AND(E31="YES",F31="YES"),1,0)</x:f>
        <x:v>0</x:v>
      </x:c>
      <x:c r="H31" s="42" t="n">
        <x:f>IF(D31="UNKNOWN",1,0)</x:f>
        <x:v>0</x:v>
      </x:c>
      <x:c r="I31" s="25" t="str">
        <x:v>Scenario policy matrix</x:v>
      </x:c>
    </x:row>
    <x:row r="32">
      <x:c r="A32" s="25" t="str">
        <x:v>C_SCOPED_AUTH</x:v>
      </x:c>
      <x:c r="B32" s="25" t="str">
        <x:v>MODEL_OUTPUT</x:v>
      </x:c>
      <x:c r="C32" s="25" t="str">
        <x:v>DOCS</x:v>
      </x:c>
      <x:c r="D32" s="25" t="str">
        <x:v>BLOCKED</x:v>
      </x:c>
      <x:c r="E32" s="25" t="str">
        <x:v>NO</x:v>
      </x:c>
      <x:c r="F32" s="42" t="str">
        <x:f>IF(D32="ALLOWED","YES",IF(D32="UNKNOWN","UNKNOWN","NO"))</x:f>
        <x:v>NO</x:v>
      </x:c>
      <x:c r="G32" s="42" t="n">
        <x:f>IF(AND(E32="YES",F32="YES"),1,0)</x:f>
        <x:v>0</x:v>
      </x:c>
      <x:c r="H32" s="42" t="n">
        <x:f>IF(D32="UNKNOWN",1,0)</x:f>
        <x:v>0</x:v>
      </x:c>
      <x:c r="I32" s="25" t="str">
        <x:v>Scenario policy matrix</x:v>
      </x:c>
    </x:row>
    <x:row r="33">
      <x:c r="A33" s="25" t="str">
        <x:v>C_SCOPED_AUTH</x:v>
      </x:c>
      <x:c r="B33" s="25" t="str">
        <x:v>MODEL_OUTPUT</x:v>
      </x:c>
      <x:c r="C33" s="25" t="str">
        <x:v>REGISTRY</x:v>
      </x:c>
      <x:c r="D33" s="25" t="str">
        <x:v>BLOCKED</x:v>
      </x:c>
      <x:c r="E33" s="25" t="str">
        <x:v>NO</x:v>
      </x:c>
      <x:c r="F33" s="42" t="str">
        <x:f>IF(D33="ALLOWED","YES",IF(D33="UNKNOWN","UNKNOWN","NO"))</x:f>
        <x:v>NO</x:v>
      </x:c>
      <x:c r="G33" s="42" t="n">
        <x:f>IF(AND(E33="YES",F33="YES"),1,0)</x:f>
        <x:v>0</x:v>
      </x:c>
      <x:c r="H33" s="42" t="n">
        <x:f>IF(D33="UNKNOWN",1,0)</x:f>
        <x:v>0</x:v>
      </x:c>
      <x:c r="I33" s="25" t="str">
        <x:v>Scenario policy matrix</x:v>
      </x:c>
    </x:row>
    <x:row r="34">
      <x:c r="A34" s="25" t="str">
        <x:v>C_SCOPED_AUTH</x:v>
      </x:c>
      <x:c r="B34" s="25" t="str">
        <x:v>MODEL_OUTPUT</x:v>
      </x:c>
      <x:c r="C34" s="25" t="str">
        <x:v>SOURCE_CONTROL</x:v>
      </x:c>
      <x:c r="D34" s="25" t="str">
        <x:v>BLOCKED</x:v>
      </x:c>
      <x:c r="E34" s="25" t="str">
        <x:v>NO</x:v>
      </x:c>
      <x:c r="F34" s="42" t="str">
        <x:f>IF(D34="ALLOWED","YES",IF(D34="UNKNOWN","UNKNOWN","NO"))</x:f>
        <x:v>NO</x:v>
      </x:c>
      <x:c r="G34" s="42" t="n">
        <x:f>IF(AND(E34="YES",F34="YES"),1,0)</x:f>
        <x:v>0</x:v>
      </x:c>
      <x:c r="H34" s="42" t="n">
        <x:f>IF(D34="UNKNOWN",1,0)</x:f>
        <x:v>0</x:v>
      </x:c>
      <x:c r="I34" s="25" t="str">
        <x:v>Scenario policy matrix</x:v>
      </x:c>
    </x:row>
    <x:row r="35">
      <x:c r="A35" s="25" t="str">
        <x:v>C_SCOPED_AUTH</x:v>
      </x:c>
      <x:c r="B35" s="25" t="str">
        <x:v>MODEL_OUTPUT</x:v>
      </x:c>
      <x:c r="C35" s="25" t="str">
        <x:v>INTERNAL_CI</x:v>
      </x:c>
      <x:c r="D35" s="25" t="str">
        <x:v>BLOCKED</x:v>
      </x:c>
      <x:c r="E35" s="25" t="str">
        <x:v>NO</x:v>
      </x:c>
      <x:c r="F35" s="42" t="str">
        <x:f>IF(D35="ALLOWED","YES",IF(D35="UNKNOWN","UNKNOWN","NO"))</x:f>
        <x:v>NO</x:v>
      </x:c>
      <x:c r="G35" s="42" t="n">
        <x:f>IF(AND(E35="YES",F35="YES"),1,0)</x:f>
        <x:v>0</x:v>
      </x:c>
      <x:c r="H35" s="42" t="n">
        <x:f>IF(D35="UNKNOWN",1,0)</x:f>
        <x:v>0</x:v>
      </x:c>
      <x:c r="I35" s="25" t="str">
        <x:v>Scenario policy matrix</x:v>
      </x:c>
    </x:row>
    <x:row r="36">
      <x:c r="A36" s="25" t="str">
        <x:v>C_SCOPED_AUTH</x:v>
      </x:c>
      <x:c r="B36" s="25" t="str">
        <x:v>MODEL_OUTPUT</x:v>
      </x:c>
      <x:c r="C36" s="25" t="str">
        <x:v>ARBITRARY_EXTERNAL</x:v>
      </x:c>
      <x:c r="D36" s="25" t="str">
        <x:v>BLOCKED</x:v>
      </x:c>
      <x:c r="E36" s="25" t="str">
        <x:v>NO</x:v>
      </x:c>
      <x:c r="F36" s="42" t="str">
        <x:f>IF(D36="ALLOWED","YES",IF(D36="UNKNOWN","UNKNOWN","NO"))</x:f>
        <x:v>NO</x:v>
      </x:c>
      <x:c r="G36" s="42" t="n">
        <x:f>IF(AND(E36="YES",F36="YES"),1,0)</x:f>
        <x:v>0</x:v>
      </x:c>
      <x:c r="H36" s="42" t="n">
        <x:f>IF(D36="UNKNOWN",1,0)</x:f>
        <x:v>0</x:v>
      </x:c>
      <x:c r="I36" s="25" t="str">
        <x:v>Scenario policy matrix</x:v>
      </x:c>
    </x:row>
    <x:row r="37">
      <x:c r="A37" s="25" t="str">
        <x:v>C_SCOPED_AUTH</x:v>
      </x:c>
      <x:c r="B37" s="25" t="str">
        <x:v>MODEL_OUTPUT</x:v>
      </x:c>
      <x:c r="C37" s="25" t="str">
        <x:v>USER_CONTROLLED</x:v>
      </x:c>
      <x:c r="D37" s="25" t="str">
        <x:v>BLOCKED</x:v>
      </x:c>
      <x:c r="E37" s="25" t="str">
        <x:v>NO</x:v>
      </x:c>
      <x:c r="F37" s="42" t="str">
        <x:f>IF(D37="ALLOWED","YES",IF(D37="UNKNOWN","UNKNOWN","NO"))</x:f>
        <x:v>NO</x:v>
      </x:c>
      <x:c r="G37" s="42" t="n">
        <x:f>IF(AND(E37="YES",F37="YES"),1,0)</x:f>
        <x:v>0</x:v>
      </x:c>
      <x:c r="H37" s="42" t="n">
        <x:f>IF(D37="UNKNOWN",1,0)</x:f>
        <x:v>0</x:v>
      </x:c>
      <x:c r="I37" s="25" t="str">
        <x:v>Scenario policy matrix</x:v>
      </x:c>
    </x:row>
    <x:row r="38">
      <x:c r="A38" s="25" t="str">
        <x:v>C_SCOPED_AUTH</x:v>
      </x:c>
      <x:c r="B38" s="25" t="str">
        <x:v>SECRETS</x:v>
      </x:c>
      <x:c r="C38" s="25" t="str">
        <x:v>DOCS</x:v>
      </x:c>
      <x:c r="D38" s="25" t="str">
        <x:v>BLOCKED</x:v>
      </x:c>
      <x:c r="E38" s="25" t="str">
        <x:v>YES</x:v>
      </x:c>
      <x:c r="F38" s="42" t="str">
        <x:f>IF(D38="ALLOWED","YES",IF(D38="UNKNOWN","UNKNOWN","NO"))</x:f>
        <x:v>NO</x:v>
      </x:c>
      <x:c r="G38" s="42" t="n">
        <x:f>IF(AND(E38="YES",F38="YES"),1,0)</x:f>
        <x:v>0</x:v>
      </x:c>
      <x:c r="H38" s="42" t="n">
        <x:f>IF(D38="UNKNOWN",1,0)</x:f>
        <x:v>0</x:v>
      </x:c>
      <x:c r="I38" s="25" t="str">
        <x:v>Scenario policy matrix</x:v>
      </x:c>
    </x:row>
    <x:row r="39">
      <x:c r="A39" s="25" t="str">
        <x:v>C_SCOPED_AUTH</x:v>
      </x:c>
      <x:c r="B39" s="25" t="str">
        <x:v>SECRETS</x:v>
      </x:c>
      <x:c r="C39" s="25" t="str">
        <x:v>REGISTRY</x:v>
      </x:c>
      <x:c r="D39" s="25" t="str">
        <x:v>BLOCKED</x:v>
      </x:c>
      <x:c r="E39" s="25" t="str">
        <x:v>YES</x:v>
      </x:c>
      <x:c r="F39" s="42" t="str">
        <x:f>IF(D39="ALLOWED","YES",IF(D39="UNKNOWN","UNKNOWN","NO"))</x:f>
        <x:v>NO</x:v>
      </x:c>
      <x:c r="G39" s="42" t="n">
        <x:f>IF(AND(E39="YES",F39="YES"),1,0)</x:f>
        <x:v>0</x:v>
      </x:c>
      <x:c r="H39" s="42" t="n">
        <x:f>IF(D39="UNKNOWN",1,0)</x:f>
        <x:v>0</x:v>
      </x:c>
      <x:c r="I39" s="25" t="str">
        <x:v>Scenario policy matrix</x:v>
      </x:c>
    </x:row>
    <x:row r="40">
      <x:c r="A40" s="25" t="str">
        <x:v>C_SCOPED_AUTH</x:v>
      </x:c>
      <x:c r="B40" s="25" t="str">
        <x:v>SECRETS</x:v>
      </x:c>
      <x:c r="C40" s="25" t="str">
        <x:v>SOURCE_CONTROL</x:v>
      </x:c>
      <x:c r="D40" s="25" t="str">
        <x:v>BLOCKED</x:v>
      </x:c>
      <x:c r="E40" s="25" t="str">
        <x:v>YES</x:v>
      </x:c>
      <x:c r="F40" s="42" t="str">
        <x:f>IF(D40="ALLOWED","YES",IF(D40="UNKNOWN","UNKNOWN","NO"))</x:f>
        <x:v>NO</x:v>
      </x:c>
      <x:c r="G40" s="42" t="n">
        <x:f>IF(AND(E40="YES",F40="YES"),1,0)</x:f>
        <x:v>0</x:v>
      </x:c>
      <x:c r="H40" s="42" t="n">
        <x:f>IF(D40="UNKNOWN",1,0)</x:f>
        <x:v>0</x:v>
      </x:c>
      <x:c r="I40" s="25" t="str">
        <x:v>Scenario policy matrix</x:v>
      </x:c>
    </x:row>
    <x:row r="41">
      <x:c r="A41" s="25" t="str">
        <x:v>C_SCOPED_AUTH</x:v>
      </x:c>
      <x:c r="B41" s="25" t="str">
        <x:v>SECRETS</x:v>
      </x:c>
      <x:c r="C41" s="25" t="str">
        <x:v>INTERNAL_CI</x:v>
      </x:c>
      <x:c r="D41" s="25" t="str">
        <x:v>BLOCKED</x:v>
      </x:c>
      <x:c r="E41" s="25" t="str">
        <x:v>YES</x:v>
      </x:c>
      <x:c r="F41" s="42" t="str">
        <x:f>IF(D41="ALLOWED","YES",IF(D41="UNKNOWN","UNKNOWN","NO"))</x:f>
        <x:v>NO</x:v>
      </x:c>
      <x:c r="G41" s="42" t="n">
        <x:f>IF(AND(E41="YES",F41="YES"),1,0)</x:f>
        <x:v>0</x:v>
      </x:c>
      <x:c r="H41" s="42" t="n">
        <x:f>IF(D41="UNKNOWN",1,0)</x:f>
        <x:v>0</x:v>
      </x:c>
      <x:c r="I41" s="25" t="str">
        <x:v>Scenario policy matrix</x:v>
      </x:c>
    </x:row>
    <x:row r="42">
      <x:c r="A42" s="25" t="str">
        <x:v>C_SCOPED_AUTH</x:v>
      </x:c>
      <x:c r="B42" s="25" t="str">
        <x:v>SECRETS</x:v>
      </x:c>
      <x:c r="C42" s="25" t="str">
        <x:v>ARBITRARY_EXTERNAL</x:v>
      </x:c>
      <x:c r="D42" s="25" t="str">
        <x:v>BLOCKED</x:v>
      </x:c>
      <x:c r="E42" s="25" t="str">
        <x:v>YES</x:v>
      </x:c>
      <x:c r="F42" s="42" t="str">
        <x:f>IF(D42="ALLOWED","YES",IF(D42="UNKNOWN","UNKNOWN","NO"))</x:f>
        <x:v>NO</x:v>
      </x:c>
      <x:c r="G42" s="42" t="n">
        <x:f>IF(AND(E42="YES",F42="YES"),1,0)</x:f>
        <x:v>0</x:v>
      </x:c>
      <x:c r="H42" s="42" t="n">
        <x:f>IF(D42="UNKNOWN",1,0)</x:f>
        <x:v>0</x:v>
      </x:c>
      <x:c r="I42" s="25" t="str">
        <x:v>Scenario policy matrix</x:v>
      </x:c>
    </x:row>
    <x:row r="43">
      <x:c r="A43" s="25" t="str">
        <x:v>C_SCOPED_AUTH</x:v>
      </x:c>
      <x:c r="B43" s="25" t="str">
        <x:v>SECRETS</x:v>
      </x:c>
      <x:c r="C43" s="25" t="str">
        <x:v>USER_CONTROLLED</x:v>
      </x:c>
      <x:c r="D43" s="25" t="str">
        <x:v>BLOCKED</x:v>
      </x:c>
      <x:c r="E43" s="25" t="str">
        <x:v>YES</x:v>
      </x:c>
      <x:c r="F43" s="42" t="str">
        <x:f>IF(D43="ALLOWED","YES",IF(D43="UNKNOWN","UNKNOWN","NO"))</x:f>
        <x:v>NO</x:v>
      </x:c>
      <x:c r="G43" s="42" t="n">
        <x:f>IF(AND(E43="YES",F43="YES"),1,0)</x:f>
        <x:v>0</x:v>
      </x:c>
      <x:c r="H43" s="42" t="n">
        <x:f>IF(D43="UNKNOWN",1,0)</x:f>
        <x:v>0</x:v>
      </x:c>
      <x:c r="I43" s="25" t="str">
        <x:v>Scenario policy matrix</x:v>
      </x:c>
    </x:row>
    <x:row r="44">
      <x:c r="A44" s="25" t="str">
        <x:v>C_SCOPED_AUTH</x:v>
      </x:c>
      <x:c r="B44" s="25" t="str">
        <x:v>CREDENTIALS</x:v>
      </x:c>
      <x:c r="C44" s="25" t="str">
        <x:v>DOCS</x:v>
      </x:c>
      <x:c r="D44" s="25" t="str">
        <x:v>BLOCKED</x:v>
      </x:c>
      <x:c r="E44" s="25" t="str">
        <x:v>NO</x:v>
      </x:c>
      <x:c r="F44" s="42" t="str">
        <x:f>IF(D44="ALLOWED","YES",IF(D44="UNKNOWN","UNKNOWN","NO"))</x:f>
        <x:v>NO</x:v>
      </x:c>
      <x:c r="G44" s="42" t="n">
        <x:f>IF(AND(E44="YES",F44="YES"),1,0)</x:f>
        <x:v>0</x:v>
      </x:c>
      <x:c r="H44" s="42" t="n">
        <x:f>IF(D44="UNKNOWN",1,0)</x:f>
        <x:v>0</x:v>
      </x:c>
      <x:c r="I44" s="25" t="str">
        <x:v>Scenario policy matrix</x:v>
      </x:c>
    </x:row>
    <x:row r="45">
      <x:c r="A45" s="25" t="str">
        <x:v>C_SCOPED_AUTH</x:v>
      </x:c>
      <x:c r="B45" s="25" t="str">
        <x:v>CREDENTIALS</x:v>
      </x:c>
      <x:c r="C45" s="25" t="str">
        <x:v>REGISTRY</x:v>
      </x:c>
      <x:c r="D45" s="25" t="str">
        <x:v>BLOCKED</x:v>
      </x:c>
      <x:c r="E45" s="25" t="str">
        <x:v>NO</x:v>
      </x:c>
      <x:c r="F45" s="42" t="str">
        <x:f>IF(D45="ALLOWED","YES",IF(D45="UNKNOWN","UNKNOWN","NO"))</x:f>
        <x:v>NO</x:v>
      </x:c>
      <x:c r="G45" s="42" t="n">
        <x:f>IF(AND(E45="YES",F45="YES"),1,0)</x:f>
        <x:v>0</x:v>
      </x:c>
      <x:c r="H45" s="42" t="n">
        <x:f>IF(D45="UNKNOWN",1,0)</x:f>
        <x:v>0</x:v>
      </x:c>
      <x:c r="I45" s="25" t="str">
        <x:v>Scenario policy matrix</x:v>
      </x:c>
    </x:row>
    <x:row r="46">
      <x:c r="A46" s="25" t="str">
        <x:v>C_SCOPED_AUTH</x:v>
      </x:c>
      <x:c r="B46" s="25" t="str">
        <x:v>CREDENTIALS</x:v>
      </x:c>
      <x:c r="C46" s="25" t="str">
        <x:v>SOURCE_CONTROL</x:v>
      </x:c>
      <x:c r="D46" s="25" t="str">
        <x:v>BLOCKED</x:v>
      </x:c>
      <x:c r="E46" s="25" t="str">
        <x:v>NO</x:v>
      </x:c>
      <x:c r="F46" s="42" t="str">
        <x:f>IF(D46="ALLOWED","YES",IF(D46="UNKNOWN","UNKNOWN","NO"))</x:f>
        <x:v>NO</x:v>
      </x:c>
      <x:c r="G46" s="42" t="n">
        <x:f>IF(AND(E46="YES",F46="YES"),1,0)</x:f>
        <x:v>0</x:v>
      </x:c>
      <x:c r="H46" s="42" t="n">
        <x:f>IF(D46="UNKNOWN",1,0)</x:f>
        <x:v>0</x:v>
      </x:c>
      <x:c r="I46" s="25" t="str">
        <x:v>Scenario policy matrix</x:v>
      </x:c>
    </x:row>
    <x:row r="47">
      <x:c r="A47" s="25" t="str">
        <x:v>C_SCOPED_AUTH</x:v>
      </x:c>
      <x:c r="B47" s="25" t="str">
        <x:v>CREDENTIALS</x:v>
      </x:c>
      <x:c r="C47" s="25" t="str">
        <x:v>INTERNAL_CI</x:v>
      </x:c>
      <x:c r="D47" s="25" t="str">
        <x:v>APPROVAL-GATED</x:v>
      </x:c>
      <x:c r="E47" s="25" t="str">
        <x:v>NO</x:v>
      </x:c>
      <x:c r="F47" s="42" t="str">
        <x:f>IF(D47="ALLOWED","YES",IF(D47="UNKNOWN","UNKNOWN","NO"))</x:f>
        <x:v>NO</x:v>
      </x:c>
      <x:c r="G47" s="42" t="n">
        <x:f>IF(AND(E47="YES",F47="YES"),1,0)</x:f>
        <x:v>0</x:v>
      </x:c>
      <x:c r="H47" s="42" t="n">
        <x:f>IF(D47="UNKNOWN",1,0)</x:f>
        <x:v>0</x:v>
      </x:c>
      <x:c r="I47" s="25" t="str">
        <x:v>Scenario policy matrix</x:v>
      </x:c>
    </x:row>
    <x:row r="48">
      <x:c r="A48" s="25" t="str">
        <x:v>C_SCOPED_AUTH</x:v>
      </x:c>
      <x:c r="B48" s="25" t="str">
        <x:v>CREDENTIALS</x:v>
      </x:c>
      <x:c r="C48" s="25" t="str">
        <x:v>ARBITRARY_EXTERNAL</x:v>
      </x:c>
      <x:c r="D48" s="25" t="str">
        <x:v>BLOCKED</x:v>
      </x:c>
      <x:c r="E48" s="25" t="str">
        <x:v>NO</x:v>
      </x:c>
      <x:c r="F48" s="42" t="str">
        <x:f>IF(D48="ALLOWED","YES",IF(D48="UNKNOWN","UNKNOWN","NO"))</x:f>
        <x:v>NO</x:v>
      </x:c>
      <x:c r="G48" s="42" t="n">
        <x:f>IF(AND(E48="YES",F48="YES"),1,0)</x:f>
        <x:v>0</x:v>
      </x:c>
      <x:c r="H48" s="42" t="n">
        <x:f>IF(D48="UNKNOWN",1,0)</x:f>
        <x:v>0</x:v>
      </x:c>
      <x:c r="I48" s="25" t="str">
        <x:v>Scenario policy matrix</x:v>
      </x:c>
    </x:row>
    <x:row r="49">
      <x:c r="A49" s="25" t="str">
        <x:v>C_SCOPED_AUTH</x:v>
      </x:c>
      <x:c r="B49" s="25" t="str">
        <x:v>CREDENTIALS</x:v>
      </x:c>
      <x:c r="C49" s="25" t="str">
        <x:v>USER_CONTROLLED</x:v>
      </x:c>
      <x:c r="D49" s="25" t="str">
        <x:v>BLOCKED</x:v>
      </x:c>
      <x:c r="E49" s="25" t="str">
        <x:v>NO</x:v>
      </x:c>
      <x:c r="F49" s="42" t="str">
        <x:f>IF(D49="ALLOWED","YES",IF(D49="UNKNOWN","UNKNOWN","NO"))</x:f>
        <x:v>NO</x:v>
      </x:c>
      <x:c r="G49" s="42" t="n">
        <x:f>IF(AND(E49="YES",F49="YES"),1,0)</x:f>
        <x:v>0</x:v>
      </x:c>
      <x:c r="H49" s="42" t="n">
        <x:f>IF(D49="UNKNOWN",1,0)</x:f>
        <x:v>0</x:v>
      </x:c>
      <x:c r="I49" s="25" t="str">
        <x:v>Scenario policy matrix</x:v>
      </x:c>
    </x:row>
    <x:row r="50">
      <x:c r="A50" s="25" t="str">
        <x:v>D_BROADER</x:v>
      </x:c>
      <x:c r="B50" s="25" t="str">
        <x:v>PUBLIC</x:v>
      </x:c>
      <x:c r="C50" s="25" t="str">
        <x:v>DOCS</x:v>
      </x:c>
      <x:c r="D50" s="25" t="str">
        <x:v>ALLOWED</x:v>
      </x:c>
      <x:c r="E50" s="25" t="str">
        <x:v>NO</x:v>
      </x:c>
      <x:c r="F50" s="42" t="str">
        <x:f>IF(D50="ALLOWED","YES",IF(D50="UNKNOWN","UNKNOWN","NO"))</x:f>
        <x:v>YES</x:v>
      </x:c>
      <x:c r="G50" s="42" t="n">
        <x:f>IF(AND(E50="YES",F50="YES"),1,0)</x:f>
        <x:v>0</x:v>
      </x:c>
      <x:c r="H50" s="42" t="n">
        <x:f>IF(D50="UNKNOWN",1,0)</x:f>
        <x:v>0</x:v>
      </x:c>
      <x:c r="I50" s="25" t="str">
        <x:v>Scenario policy matrix</x:v>
      </x:c>
    </x:row>
    <x:row r="51">
      <x:c r="A51" s="25" t="str">
        <x:v>D_BROADER</x:v>
      </x:c>
      <x:c r="B51" s="25" t="str">
        <x:v>PUBLIC</x:v>
      </x:c>
      <x:c r="C51" s="25" t="str">
        <x:v>REGISTRY</x:v>
      </x:c>
      <x:c r="D51" s="25" t="str">
        <x:v>ALLOWED</x:v>
      </x:c>
      <x:c r="E51" s="25" t="str">
        <x:v>NO</x:v>
      </x:c>
      <x:c r="F51" s="42" t="str">
        <x:f>IF(D51="ALLOWED","YES",IF(D51="UNKNOWN","UNKNOWN","NO"))</x:f>
        <x:v>YES</x:v>
      </x:c>
      <x:c r="G51" s="42" t="n">
        <x:f>IF(AND(E51="YES",F51="YES"),1,0)</x:f>
        <x:v>0</x:v>
      </x:c>
      <x:c r="H51" s="42" t="n">
        <x:f>IF(D51="UNKNOWN",1,0)</x:f>
        <x:v>0</x:v>
      </x:c>
      <x:c r="I51" s="25" t="str">
        <x:v>Scenario policy matrix</x:v>
      </x:c>
    </x:row>
    <x:row r="52">
      <x:c r="A52" s="25" t="str">
        <x:v>D_BROADER</x:v>
      </x:c>
      <x:c r="B52" s="25" t="str">
        <x:v>PUBLIC</x:v>
      </x:c>
      <x:c r="C52" s="25" t="str">
        <x:v>SOURCE_CONTROL</x:v>
      </x:c>
      <x:c r="D52" s="25" t="str">
        <x:v>ALLOWED</x:v>
      </x:c>
      <x:c r="E52" s="25" t="str">
        <x:v>NO</x:v>
      </x:c>
      <x:c r="F52" s="42" t="str">
        <x:f>IF(D52="ALLOWED","YES",IF(D52="UNKNOWN","UNKNOWN","NO"))</x:f>
        <x:v>YES</x:v>
      </x:c>
      <x:c r="G52" s="42" t="n">
        <x:f>IF(AND(E52="YES",F52="YES"),1,0)</x:f>
        <x:v>0</x:v>
      </x:c>
      <x:c r="H52" s="42" t="n">
        <x:f>IF(D52="UNKNOWN",1,0)</x:f>
        <x:v>0</x:v>
      </x:c>
      <x:c r="I52" s="25" t="str">
        <x:v>Scenario policy matrix</x:v>
      </x:c>
    </x:row>
    <x:row r="53">
      <x:c r="A53" s="25" t="str">
        <x:v>D_BROADER</x:v>
      </x:c>
      <x:c r="B53" s="25" t="str">
        <x:v>PUBLIC</x:v>
      </x:c>
      <x:c r="C53" s="25" t="str">
        <x:v>INTERNAL_CI</x:v>
      </x:c>
      <x:c r="D53" s="25" t="str">
        <x:v>BLOCKED</x:v>
      </x:c>
      <x:c r="E53" s="25" t="str">
        <x:v>NO</x:v>
      </x:c>
      <x:c r="F53" s="42" t="str">
        <x:f>IF(D53="ALLOWED","YES",IF(D53="UNKNOWN","UNKNOWN","NO"))</x:f>
        <x:v>NO</x:v>
      </x:c>
      <x:c r="G53" s="42" t="n">
        <x:f>IF(AND(E53="YES",F53="YES"),1,0)</x:f>
        <x:v>0</x:v>
      </x:c>
      <x:c r="H53" s="42" t="n">
        <x:f>IF(D53="UNKNOWN",1,0)</x:f>
        <x:v>0</x:v>
      </x:c>
      <x:c r="I53" s="25" t="str">
        <x:v>Scenario policy matrix</x:v>
      </x:c>
    </x:row>
    <x:row r="54">
      <x:c r="A54" s="25" t="str">
        <x:v>D_BROADER</x:v>
      </x:c>
      <x:c r="B54" s="25" t="str">
        <x:v>PUBLIC</x:v>
      </x:c>
      <x:c r="C54" s="25" t="str">
        <x:v>ARBITRARY_EXTERNAL</x:v>
      </x:c>
      <x:c r="D54" s="25" t="str">
        <x:v>ALLOWED</x:v>
      </x:c>
      <x:c r="E54" s="25" t="str">
        <x:v>NO</x:v>
      </x:c>
      <x:c r="F54" s="42" t="str">
        <x:f>IF(D54="ALLOWED","YES",IF(D54="UNKNOWN","UNKNOWN","NO"))</x:f>
        <x:v>YES</x:v>
      </x:c>
      <x:c r="G54" s="42" t="n">
        <x:f>IF(AND(E54="YES",F54="YES"),1,0)</x:f>
        <x:v>0</x:v>
      </x:c>
      <x:c r="H54" s="42" t="n">
        <x:f>IF(D54="UNKNOWN",1,0)</x:f>
        <x:v>0</x:v>
      </x:c>
      <x:c r="I54" s="25" t="str">
        <x:v>Scenario policy matrix</x:v>
      </x:c>
    </x:row>
    <x:row r="55">
      <x:c r="A55" s="25" t="str">
        <x:v>D_BROADER</x:v>
      </x:c>
      <x:c r="B55" s="25" t="str">
        <x:v>PUBLIC</x:v>
      </x:c>
      <x:c r="C55" s="25" t="str">
        <x:v>USER_CONTROLLED</x:v>
      </x:c>
      <x:c r="D55" s="25" t="str">
        <x:v>ALLOWED</x:v>
      </x:c>
      <x:c r="E55" s="25" t="str">
        <x:v>NO</x:v>
      </x:c>
      <x:c r="F55" s="42" t="str">
        <x:f>IF(D55="ALLOWED","YES",IF(D55="UNKNOWN","UNKNOWN","NO"))</x:f>
        <x:v>YES</x:v>
      </x:c>
      <x:c r="G55" s="42" t="n">
        <x:f>IF(AND(E55="YES",F55="YES"),1,0)</x:f>
        <x:v>0</x:v>
      </x:c>
      <x:c r="H55" s="42" t="n">
        <x:f>IF(D55="UNKNOWN",1,0)</x:f>
        <x:v>0</x:v>
      </x:c>
      <x:c r="I55" s="25" t="str">
        <x:v>Scenario policy matrix</x:v>
      </x:c>
    </x:row>
    <x:row r="56">
      <x:c r="A56" s="25" t="str">
        <x:v>D_BROADER</x:v>
      </x:c>
      <x:c r="B56" s="25" t="str">
        <x:v>WORKSPACE_SOURCE</x:v>
      </x:c>
      <x:c r="C56" s="25" t="str">
        <x:v>DOCS</x:v>
      </x:c>
      <x:c r="D56" s="25" t="str">
        <x:v>BLOCKED</x:v>
      </x:c>
      <x:c r="E56" s="25" t="str">
        <x:v>YES</x:v>
      </x:c>
      <x:c r="F56" s="42" t="str">
        <x:f>IF(D56="ALLOWED","YES",IF(D56="UNKNOWN","UNKNOWN","NO"))</x:f>
        <x:v>NO</x:v>
      </x:c>
      <x:c r="G56" s="42" t="n">
        <x:f>IF(AND(E56="YES",F56="YES"),1,0)</x:f>
        <x:v>0</x:v>
      </x:c>
      <x:c r="H56" s="42" t="n">
        <x:f>IF(D56="UNKNOWN",1,0)</x:f>
        <x:v>0</x:v>
      </x:c>
      <x:c r="I56" s="25" t="str">
        <x:v>Scenario policy matrix</x:v>
      </x:c>
    </x:row>
    <x:row r="57">
      <x:c r="A57" s="25" t="str">
        <x:v>D_BROADER</x:v>
      </x:c>
      <x:c r="B57" s="25" t="str">
        <x:v>WORKSPACE_SOURCE</x:v>
      </x:c>
      <x:c r="C57" s="25" t="str">
        <x:v>REGISTRY</x:v>
      </x:c>
      <x:c r="D57" s="25" t="str">
        <x:v>BLOCKED</x:v>
      </x:c>
      <x:c r="E57" s="25" t="str">
        <x:v>YES</x:v>
      </x:c>
      <x:c r="F57" s="42" t="str">
        <x:f>IF(D57="ALLOWED","YES",IF(D57="UNKNOWN","UNKNOWN","NO"))</x:f>
        <x:v>NO</x:v>
      </x:c>
      <x:c r="G57" s="42" t="n">
        <x:f>IF(AND(E57="YES",F57="YES"),1,0)</x:f>
        <x:v>0</x:v>
      </x:c>
      <x:c r="H57" s="42" t="n">
        <x:f>IF(D57="UNKNOWN",1,0)</x:f>
        <x:v>0</x:v>
      </x:c>
      <x:c r="I57" s="25" t="str">
        <x:v>Scenario policy matrix</x:v>
      </x:c>
    </x:row>
    <x:row r="58">
      <x:c r="A58" s="25" t="str">
        <x:v>D_BROADER</x:v>
      </x:c>
      <x:c r="B58" s="25" t="str">
        <x:v>WORKSPACE_SOURCE</x:v>
      </x:c>
      <x:c r="C58" s="25" t="str">
        <x:v>SOURCE_CONTROL</x:v>
      </x:c>
      <x:c r="D58" s="25" t="str">
        <x:v>BLOCKED</x:v>
      </x:c>
      <x:c r="E58" s="25" t="str">
        <x:v>YES</x:v>
      </x:c>
      <x:c r="F58" s="42" t="str">
        <x:f>IF(D58="ALLOWED","YES",IF(D58="UNKNOWN","UNKNOWN","NO"))</x:f>
        <x:v>NO</x:v>
      </x:c>
      <x:c r="G58" s="42" t="n">
        <x:f>IF(AND(E58="YES",F58="YES"),1,0)</x:f>
        <x:v>0</x:v>
      </x:c>
      <x:c r="H58" s="42" t="n">
        <x:f>IF(D58="UNKNOWN",1,0)</x:f>
        <x:v>0</x:v>
      </x:c>
      <x:c r="I58" s="25" t="str">
        <x:v>Scenario policy matrix</x:v>
      </x:c>
    </x:row>
    <x:row r="59">
      <x:c r="A59" s="25" t="str">
        <x:v>D_BROADER</x:v>
      </x:c>
      <x:c r="B59" s="25" t="str">
        <x:v>WORKSPACE_SOURCE</x:v>
      </x:c>
      <x:c r="C59" s="25" t="str">
        <x:v>INTERNAL_CI</x:v>
      </x:c>
      <x:c r="D59" s="25" t="str">
        <x:v>BLOCKED</x:v>
      </x:c>
      <x:c r="E59" s="25" t="str">
        <x:v>NO</x:v>
      </x:c>
      <x:c r="F59" s="42" t="str">
        <x:f>IF(D59="ALLOWED","YES",IF(D59="UNKNOWN","UNKNOWN","NO"))</x:f>
        <x:v>NO</x:v>
      </x:c>
      <x:c r="G59" s="42" t="n">
        <x:f>IF(AND(E59="YES",F59="YES"),1,0)</x:f>
        <x:v>0</x:v>
      </x:c>
      <x:c r="H59" s="42" t="n">
        <x:f>IF(D59="UNKNOWN",1,0)</x:f>
        <x:v>0</x:v>
      </x:c>
      <x:c r="I59" s="25" t="str">
        <x:v>Scenario policy matrix</x:v>
      </x:c>
    </x:row>
    <x:row r="60">
      <x:c r="A60" s="25" t="str">
        <x:v>D_BROADER</x:v>
      </x:c>
      <x:c r="B60" s="25" t="str">
        <x:v>WORKSPACE_SOURCE</x:v>
      </x:c>
      <x:c r="C60" s="25" t="str">
        <x:v>ARBITRARY_EXTERNAL</x:v>
      </x:c>
      <x:c r="D60" s="25" t="str">
        <x:v>ALLOWED</x:v>
      </x:c>
      <x:c r="E60" s="25" t="str">
        <x:v>YES</x:v>
      </x:c>
      <x:c r="F60" s="42" t="str">
        <x:f>IF(D60="ALLOWED","YES",IF(D60="UNKNOWN","UNKNOWN","NO"))</x:f>
        <x:v>YES</x:v>
      </x:c>
      <x:c r="G60" s="42" t="n">
        <x:f>IF(AND(E60="YES",F60="YES"),1,0)</x:f>
        <x:v>1</x:v>
      </x:c>
      <x:c r="H60" s="42" t="n">
        <x:f>IF(D60="UNKNOWN",1,0)</x:f>
        <x:v>0</x:v>
      </x:c>
      <x:c r="I60" s="25" t="str">
        <x:v>Scenario policy matrix</x:v>
      </x:c>
    </x:row>
    <x:row r="61">
      <x:c r="A61" s="25" t="str">
        <x:v>D_BROADER</x:v>
      </x:c>
      <x:c r="B61" s="25" t="str">
        <x:v>WORKSPACE_SOURCE</x:v>
      </x:c>
      <x:c r="C61" s="25" t="str">
        <x:v>USER_CONTROLLED</x:v>
      </x:c>
      <x:c r="D61" s="25" t="str">
        <x:v>ALLOWED</x:v>
      </x:c>
      <x:c r="E61" s="25" t="str">
        <x:v>YES</x:v>
      </x:c>
      <x:c r="F61" s="42" t="str">
        <x:f>IF(D61="ALLOWED","YES",IF(D61="UNKNOWN","UNKNOWN","NO"))</x:f>
        <x:v>YES</x:v>
      </x:c>
      <x:c r="G61" s="42" t="n">
        <x:f>IF(AND(E61="YES",F61="YES"),1,0)</x:f>
        <x:v>1</x:v>
      </x:c>
      <x:c r="H61" s="42" t="n">
        <x:f>IF(D61="UNKNOWN",1,0)</x:f>
        <x:v>0</x:v>
      </x:c>
      <x:c r="I61" s="25" t="str">
        <x:v>Scenario policy matrix</x:v>
      </x:c>
    </x:row>
    <x:row r="62">
      <x:c r="A62" s="25" t="str">
        <x:v>D_BROADER</x:v>
      </x:c>
      <x:c r="B62" s="25" t="str">
        <x:v>PROPRIETARY_SOURCE</x:v>
      </x:c>
      <x:c r="C62" s="25" t="str">
        <x:v>DOCS</x:v>
      </x:c>
      <x:c r="D62" s="25" t="str">
        <x:v>BLOCKED</x:v>
      </x:c>
      <x:c r="E62" s="25" t="str">
        <x:v>YES</x:v>
      </x:c>
      <x:c r="F62" s="42" t="str">
        <x:f>IF(D62="ALLOWED","YES",IF(D62="UNKNOWN","UNKNOWN","NO"))</x:f>
        <x:v>NO</x:v>
      </x:c>
      <x:c r="G62" s="42" t="n">
        <x:f>IF(AND(E62="YES",F62="YES"),1,0)</x:f>
        <x:v>0</x:v>
      </x:c>
      <x:c r="H62" s="42" t="n">
        <x:f>IF(D62="UNKNOWN",1,0)</x:f>
        <x:v>0</x:v>
      </x:c>
      <x:c r="I62" s="25" t="str">
        <x:v>Scenario policy matrix</x:v>
      </x:c>
    </x:row>
    <x:row r="63">
      <x:c r="A63" s="25" t="str">
        <x:v>D_BROADER</x:v>
      </x:c>
      <x:c r="B63" s="25" t="str">
        <x:v>PROPRIETARY_SOURCE</x:v>
      </x:c>
      <x:c r="C63" s="25" t="str">
        <x:v>REGISTRY</x:v>
      </x:c>
      <x:c r="D63" s="25" t="str">
        <x:v>BLOCKED</x:v>
      </x:c>
      <x:c r="E63" s="25" t="str">
        <x:v>YES</x:v>
      </x:c>
      <x:c r="F63" s="42" t="str">
        <x:f>IF(D63="ALLOWED","YES",IF(D63="UNKNOWN","UNKNOWN","NO"))</x:f>
        <x:v>NO</x:v>
      </x:c>
      <x:c r="G63" s="42" t="n">
        <x:f>IF(AND(E63="YES",F63="YES"),1,0)</x:f>
        <x:v>0</x:v>
      </x:c>
      <x:c r="H63" s="42" t="n">
        <x:f>IF(D63="UNKNOWN",1,0)</x:f>
        <x:v>0</x:v>
      </x:c>
      <x:c r="I63" s="25" t="str">
        <x:v>Scenario policy matrix</x:v>
      </x:c>
    </x:row>
    <x:row r="64">
      <x:c r="A64" s="25" t="str">
        <x:v>D_BROADER</x:v>
      </x:c>
      <x:c r="B64" s="25" t="str">
        <x:v>PROPRIETARY_SOURCE</x:v>
      </x:c>
      <x:c r="C64" s="25" t="str">
        <x:v>SOURCE_CONTROL</x:v>
      </x:c>
      <x:c r="D64" s="25" t="str">
        <x:v>BLOCKED</x:v>
      </x:c>
      <x:c r="E64" s="25" t="str">
        <x:v>YES</x:v>
      </x:c>
      <x:c r="F64" s="42" t="str">
        <x:f>IF(D64="ALLOWED","YES",IF(D64="UNKNOWN","UNKNOWN","NO"))</x:f>
        <x:v>NO</x:v>
      </x:c>
      <x:c r="G64" s="42" t="n">
        <x:f>IF(AND(E64="YES",F64="YES"),1,0)</x:f>
        <x:v>0</x:v>
      </x:c>
      <x:c r="H64" s="42" t="n">
        <x:f>IF(D64="UNKNOWN",1,0)</x:f>
        <x:v>0</x:v>
      </x:c>
      <x:c r="I64" s="25" t="str">
        <x:v>Scenario policy matrix</x:v>
      </x:c>
    </x:row>
    <x:row r="65">
      <x:c r="A65" s="25" t="str">
        <x:v>D_BROADER</x:v>
      </x:c>
      <x:c r="B65" s="25" t="str">
        <x:v>PROPRIETARY_SOURCE</x:v>
      </x:c>
      <x:c r="C65" s="25" t="str">
        <x:v>INTERNAL_CI</x:v>
      </x:c>
      <x:c r="D65" s="25" t="str">
        <x:v>BLOCKED</x:v>
      </x:c>
      <x:c r="E65" s="25" t="str">
        <x:v>NO</x:v>
      </x:c>
      <x:c r="F65" s="42" t="str">
        <x:f>IF(D65="ALLOWED","YES",IF(D65="UNKNOWN","UNKNOWN","NO"))</x:f>
        <x:v>NO</x:v>
      </x:c>
      <x:c r="G65" s="42" t="n">
        <x:f>IF(AND(E65="YES",F65="YES"),1,0)</x:f>
        <x:v>0</x:v>
      </x:c>
      <x:c r="H65" s="42" t="n">
        <x:f>IF(D65="UNKNOWN",1,0)</x:f>
        <x:v>0</x:v>
      </x:c>
      <x:c r="I65" s="25" t="str">
        <x:v>Scenario policy matrix</x:v>
      </x:c>
    </x:row>
    <x:row r="66">
      <x:c r="A66" s="25" t="str">
        <x:v>D_BROADER</x:v>
      </x:c>
      <x:c r="B66" s="25" t="str">
        <x:v>PROPRIETARY_SOURCE</x:v>
      </x:c>
      <x:c r="C66" s="25" t="str">
        <x:v>ARBITRARY_EXTERNAL</x:v>
      </x:c>
      <x:c r="D66" s="25" t="str">
        <x:v>ALLOWED</x:v>
      </x:c>
      <x:c r="E66" s="25" t="str">
        <x:v>YES</x:v>
      </x:c>
      <x:c r="F66" s="42" t="str">
        <x:f>IF(D66="ALLOWED","YES",IF(D66="UNKNOWN","UNKNOWN","NO"))</x:f>
        <x:v>YES</x:v>
      </x:c>
      <x:c r="G66" s="42" t="n">
        <x:f>IF(AND(E66="YES",F66="YES"),1,0)</x:f>
        <x:v>1</x:v>
      </x:c>
      <x:c r="H66" s="42" t="n">
        <x:f>IF(D66="UNKNOWN",1,0)</x:f>
        <x:v>0</x:v>
      </x:c>
      <x:c r="I66" s="25" t="str">
        <x:v>Scenario policy matrix</x:v>
      </x:c>
    </x:row>
    <x:row r="67">
      <x:c r="A67" s="25" t="str">
        <x:v>D_BROADER</x:v>
      </x:c>
      <x:c r="B67" s="25" t="str">
        <x:v>PROPRIETARY_SOURCE</x:v>
      </x:c>
      <x:c r="C67" s="25" t="str">
        <x:v>USER_CONTROLLED</x:v>
      </x:c>
      <x:c r="D67" s="25" t="str">
        <x:v>ALLOWED</x:v>
      </x:c>
      <x:c r="E67" s="25" t="str">
        <x:v>YES</x:v>
      </x:c>
      <x:c r="F67" s="42" t="str">
        <x:f>IF(D67="ALLOWED","YES",IF(D67="UNKNOWN","UNKNOWN","NO"))</x:f>
        <x:v>YES</x:v>
      </x:c>
      <x:c r="G67" s="42" t="n">
        <x:f>IF(AND(E67="YES",F67="YES"),1,0)</x:f>
        <x:v>1</x:v>
      </x:c>
      <x:c r="H67" s="42" t="n">
        <x:f>IF(D67="UNKNOWN",1,0)</x:f>
        <x:v>0</x:v>
      </x:c>
      <x:c r="I67" s="25" t="str">
        <x:v>Scenario policy matrix</x:v>
      </x:c>
    </x:row>
    <x:row r="68">
      <x:c r="A68" s="25" t="str">
        <x:v>D_BROADER</x:v>
      </x:c>
      <x:c r="B68" s="25" t="str">
        <x:v>BUILD_ARTIFACTS</x:v>
      </x:c>
      <x:c r="C68" s="25" t="str">
        <x:v>DOCS</x:v>
      </x:c>
      <x:c r="D68" s="25" t="str">
        <x:v>BLOCKED</x:v>
      </x:c>
      <x:c r="E68" s="25" t="str">
        <x:v>NO</x:v>
      </x:c>
      <x:c r="F68" s="42" t="str">
        <x:f>IF(D68="ALLOWED","YES",IF(D68="UNKNOWN","UNKNOWN","NO"))</x:f>
        <x:v>NO</x:v>
      </x:c>
      <x:c r="G68" s="42" t="n">
        <x:f>IF(AND(E68="YES",F68="YES"),1,0)</x:f>
        <x:v>0</x:v>
      </x:c>
      <x:c r="H68" s="42" t="n">
        <x:f>IF(D68="UNKNOWN",1,0)</x:f>
        <x:v>0</x:v>
      </x:c>
      <x:c r="I68" s="25" t="str">
        <x:v>Scenario policy matrix</x:v>
      </x:c>
    </x:row>
    <x:row r="69">
      <x:c r="A69" s="25" t="str">
        <x:v>D_BROADER</x:v>
      </x:c>
      <x:c r="B69" s="25" t="str">
        <x:v>BUILD_ARTIFACTS</x:v>
      </x:c>
      <x:c r="C69" s="25" t="str">
        <x:v>REGISTRY</x:v>
      </x:c>
      <x:c r="D69" s="25" t="str">
        <x:v>BLOCKED</x:v>
      </x:c>
      <x:c r="E69" s="25" t="str">
        <x:v>NO</x:v>
      </x:c>
      <x:c r="F69" s="42" t="str">
        <x:f>IF(D69="ALLOWED","YES",IF(D69="UNKNOWN","UNKNOWN","NO"))</x:f>
        <x:v>NO</x:v>
      </x:c>
      <x:c r="G69" s="42" t="n">
        <x:f>IF(AND(E69="YES",F69="YES"),1,0)</x:f>
        <x:v>0</x:v>
      </x:c>
      <x:c r="H69" s="42" t="n">
        <x:f>IF(D69="UNKNOWN",1,0)</x:f>
        <x:v>0</x:v>
      </x:c>
      <x:c r="I69" s="25" t="str">
        <x:v>Scenario policy matrix</x:v>
      </x:c>
    </x:row>
    <x:row r="70">
      <x:c r="A70" s="25" t="str">
        <x:v>D_BROADER</x:v>
      </x:c>
      <x:c r="B70" s="25" t="str">
        <x:v>BUILD_ARTIFACTS</x:v>
      </x:c>
      <x:c r="C70" s="25" t="str">
        <x:v>SOURCE_CONTROL</x:v>
      </x:c>
      <x:c r="D70" s="25" t="str">
        <x:v>BLOCKED</x:v>
      </x:c>
      <x:c r="E70" s="25" t="str">
        <x:v>NO</x:v>
      </x:c>
      <x:c r="F70" s="42" t="str">
        <x:f>IF(D70="ALLOWED","YES",IF(D70="UNKNOWN","UNKNOWN","NO"))</x:f>
        <x:v>NO</x:v>
      </x:c>
      <x:c r="G70" s="42" t="n">
        <x:f>IF(AND(E70="YES",F70="YES"),1,0)</x:f>
        <x:v>0</x:v>
      </x:c>
      <x:c r="H70" s="42" t="n">
        <x:f>IF(D70="UNKNOWN",1,0)</x:f>
        <x:v>0</x:v>
      </x:c>
      <x:c r="I70" s="25" t="str">
        <x:v>Scenario policy matrix</x:v>
      </x:c>
    </x:row>
    <x:row r="71">
      <x:c r="A71" s="25" t="str">
        <x:v>D_BROADER</x:v>
      </x:c>
      <x:c r="B71" s="25" t="str">
        <x:v>BUILD_ARTIFACTS</x:v>
      </x:c>
      <x:c r="C71" s="25" t="str">
        <x:v>INTERNAL_CI</x:v>
      </x:c>
      <x:c r="D71" s="25" t="str">
        <x:v>ALLOWED</x:v>
      </x:c>
      <x:c r="E71" s="25" t="str">
        <x:v>NO</x:v>
      </x:c>
      <x:c r="F71" s="42" t="str">
        <x:f>IF(D71="ALLOWED","YES",IF(D71="UNKNOWN","UNKNOWN","NO"))</x:f>
        <x:v>YES</x:v>
      </x:c>
      <x:c r="G71" s="42" t="n">
        <x:f>IF(AND(E71="YES",F71="YES"),1,0)</x:f>
        <x:v>0</x:v>
      </x:c>
      <x:c r="H71" s="42" t="n">
        <x:f>IF(D71="UNKNOWN",1,0)</x:f>
        <x:v>0</x:v>
      </x:c>
      <x:c r="I71" s="25" t="str">
        <x:v>Scenario policy matrix</x:v>
      </x:c>
    </x:row>
    <x:row r="72">
      <x:c r="A72" s="25" t="str">
        <x:v>D_BROADER</x:v>
      </x:c>
      <x:c r="B72" s="25" t="str">
        <x:v>BUILD_ARTIFACTS</x:v>
      </x:c>
      <x:c r="C72" s="25" t="str">
        <x:v>ARBITRARY_EXTERNAL</x:v>
      </x:c>
      <x:c r="D72" s="25" t="str">
        <x:v>ALLOWED</x:v>
      </x:c>
      <x:c r="E72" s="25" t="str">
        <x:v>YES</x:v>
      </x:c>
      <x:c r="F72" s="42" t="str">
        <x:f>IF(D72="ALLOWED","YES",IF(D72="UNKNOWN","UNKNOWN","NO"))</x:f>
        <x:v>YES</x:v>
      </x:c>
      <x:c r="G72" s="42" t="n">
        <x:f>IF(AND(E72="YES",F72="YES"),1,0)</x:f>
        <x:v>1</x:v>
      </x:c>
      <x:c r="H72" s="42" t="n">
        <x:f>IF(D72="UNKNOWN",1,0)</x:f>
        <x:v>0</x:v>
      </x:c>
      <x:c r="I72" s="25" t="str">
        <x:v>Scenario policy matrix</x:v>
      </x:c>
    </x:row>
    <x:row r="73">
      <x:c r="A73" s="25" t="str">
        <x:v>D_BROADER</x:v>
      </x:c>
      <x:c r="B73" s="25" t="str">
        <x:v>BUILD_ARTIFACTS</x:v>
      </x:c>
      <x:c r="C73" s="25" t="str">
        <x:v>USER_CONTROLLED</x:v>
      </x:c>
      <x:c r="D73" s="25" t="str">
        <x:v>ALLOWED</x:v>
      </x:c>
      <x:c r="E73" s="25" t="str">
        <x:v>YES</x:v>
      </x:c>
      <x:c r="F73" s="42" t="str">
        <x:f>IF(D73="ALLOWED","YES",IF(D73="UNKNOWN","UNKNOWN","NO"))</x:f>
        <x:v>YES</x:v>
      </x:c>
      <x:c r="G73" s="42" t="n">
        <x:f>IF(AND(E73="YES",F73="YES"),1,0)</x:f>
        <x:v>1</x:v>
      </x:c>
      <x:c r="H73" s="42" t="n">
        <x:f>IF(D73="UNKNOWN",1,0)</x:f>
        <x:v>0</x:v>
      </x:c>
      <x:c r="I73" s="25" t="str">
        <x:v>Scenario policy matrix</x:v>
      </x:c>
    </x:row>
    <x:row r="74">
      <x:c r="A74" s="25" t="str">
        <x:v>D_BROADER</x:v>
      </x:c>
      <x:c r="B74" s="25" t="str">
        <x:v>LOGS</x:v>
      </x:c>
      <x:c r="C74" s="25" t="str">
        <x:v>DOCS</x:v>
      </x:c>
      <x:c r="D74" s="25" t="str">
        <x:v>BLOCKED</x:v>
      </x:c>
      <x:c r="E74" s="25" t="str">
        <x:v>NO</x:v>
      </x:c>
      <x:c r="F74" s="42" t="str">
        <x:f>IF(D74="ALLOWED","YES",IF(D74="UNKNOWN","UNKNOWN","NO"))</x:f>
        <x:v>NO</x:v>
      </x:c>
      <x:c r="G74" s="42" t="n">
        <x:f>IF(AND(E74="YES",F74="YES"),1,0)</x:f>
        <x:v>0</x:v>
      </x:c>
      <x:c r="H74" s="42" t="n">
        <x:f>IF(D74="UNKNOWN",1,0)</x:f>
        <x:v>0</x:v>
      </x:c>
      <x:c r="I74" s="25" t="str">
        <x:v>Scenario policy matrix</x:v>
      </x:c>
    </x:row>
    <x:row r="75">
      <x:c r="A75" s="25" t="str">
        <x:v>D_BROADER</x:v>
      </x:c>
      <x:c r="B75" s="25" t="str">
        <x:v>LOGS</x:v>
      </x:c>
      <x:c r="C75" s="25" t="str">
        <x:v>REGISTRY</x:v>
      </x:c>
      <x:c r="D75" s="25" t="str">
        <x:v>BLOCKED</x:v>
      </x:c>
      <x:c r="E75" s="25" t="str">
        <x:v>NO</x:v>
      </x:c>
      <x:c r="F75" s="42" t="str">
        <x:f>IF(D75="ALLOWED","YES",IF(D75="UNKNOWN","UNKNOWN","NO"))</x:f>
        <x:v>NO</x:v>
      </x:c>
      <x:c r="G75" s="42" t="n">
        <x:f>IF(AND(E75="YES",F75="YES"),1,0)</x:f>
        <x:v>0</x:v>
      </x:c>
      <x:c r="H75" s="42" t="n">
        <x:f>IF(D75="UNKNOWN",1,0)</x:f>
        <x:v>0</x:v>
      </x:c>
      <x:c r="I75" s="25" t="str">
        <x:v>Scenario policy matrix</x:v>
      </x:c>
    </x:row>
    <x:row r="76">
      <x:c r="A76" s="25" t="str">
        <x:v>D_BROADER</x:v>
      </x:c>
      <x:c r="B76" s="25" t="str">
        <x:v>LOGS</x:v>
      </x:c>
      <x:c r="C76" s="25" t="str">
        <x:v>SOURCE_CONTROL</x:v>
      </x:c>
      <x:c r="D76" s="25" t="str">
        <x:v>BLOCKED</x:v>
      </x:c>
      <x:c r="E76" s="25" t="str">
        <x:v>NO</x:v>
      </x:c>
      <x:c r="F76" s="42" t="str">
        <x:f>IF(D76="ALLOWED","YES",IF(D76="UNKNOWN","UNKNOWN","NO"))</x:f>
        <x:v>NO</x:v>
      </x:c>
      <x:c r="G76" s="42" t="n">
        <x:f>IF(AND(E76="YES",F76="YES"),1,0)</x:f>
        <x:v>0</x:v>
      </x:c>
      <x:c r="H76" s="42" t="n">
        <x:f>IF(D76="UNKNOWN",1,0)</x:f>
        <x:v>0</x:v>
      </x:c>
      <x:c r="I76" s="25" t="str">
        <x:v>Scenario policy matrix</x:v>
      </x:c>
    </x:row>
    <x:row r="77">
      <x:c r="A77" s="25" t="str">
        <x:v>D_BROADER</x:v>
      </x:c>
      <x:c r="B77" s="25" t="str">
        <x:v>LOGS</x:v>
      </x:c>
      <x:c r="C77" s="25" t="str">
        <x:v>INTERNAL_CI</x:v>
      </x:c>
      <x:c r="D77" s="25" t="str">
        <x:v>BLOCKED</x:v>
      </x:c>
      <x:c r="E77" s="25" t="str">
        <x:v>NO</x:v>
      </x:c>
      <x:c r="F77" s="42" t="str">
        <x:f>IF(D77="ALLOWED","YES",IF(D77="UNKNOWN","UNKNOWN","NO"))</x:f>
        <x:v>NO</x:v>
      </x:c>
      <x:c r="G77" s="42" t="n">
        <x:f>IF(AND(E77="YES",F77="YES"),1,0)</x:f>
        <x:v>0</x:v>
      </x:c>
      <x:c r="H77" s="42" t="n">
        <x:f>IF(D77="UNKNOWN",1,0)</x:f>
        <x:v>0</x:v>
      </x:c>
      <x:c r="I77" s="25" t="str">
        <x:v>Scenario policy matrix</x:v>
      </x:c>
    </x:row>
    <x:row r="78">
      <x:c r="A78" s="25" t="str">
        <x:v>D_BROADER</x:v>
      </x:c>
      <x:c r="B78" s="25" t="str">
        <x:v>LOGS</x:v>
      </x:c>
      <x:c r="C78" s="25" t="str">
        <x:v>ARBITRARY_EXTERNAL</x:v>
      </x:c>
      <x:c r="D78" s="25" t="str">
        <x:v>ALLOWED</x:v>
      </x:c>
      <x:c r="E78" s="25" t="str">
        <x:v>YES</x:v>
      </x:c>
      <x:c r="F78" s="42" t="str">
        <x:f>IF(D78="ALLOWED","YES",IF(D78="UNKNOWN","UNKNOWN","NO"))</x:f>
        <x:v>YES</x:v>
      </x:c>
      <x:c r="G78" s="42" t="n">
        <x:f>IF(AND(E78="YES",F78="YES"),1,0)</x:f>
        <x:v>1</x:v>
      </x:c>
      <x:c r="H78" s="42" t="n">
        <x:f>IF(D78="UNKNOWN",1,0)</x:f>
        <x:v>0</x:v>
      </x:c>
      <x:c r="I78" s="25" t="str">
        <x:v>Scenario policy matrix</x:v>
      </x:c>
    </x:row>
    <x:row r="79">
      <x:c r="A79" s="25" t="str">
        <x:v>D_BROADER</x:v>
      </x:c>
      <x:c r="B79" s="25" t="str">
        <x:v>LOGS</x:v>
      </x:c>
      <x:c r="C79" s="25" t="str">
        <x:v>USER_CONTROLLED</x:v>
      </x:c>
      <x:c r="D79" s="25" t="str">
        <x:v>ALLOWED</x:v>
      </x:c>
      <x:c r="E79" s="25" t="str">
        <x:v>YES</x:v>
      </x:c>
      <x:c r="F79" s="42" t="str">
        <x:f>IF(D79="ALLOWED","YES",IF(D79="UNKNOWN","UNKNOWN","NO"))</x:f>
        <x:v>YES</x:v>
      </x:c>
      <x:c r="G79" s="42" t="n">
        <x:f>IF(AND(E79="YES",F79="YES"),1,0)</x:f>
        <x:v>1</x:v>
      </x:c>
      <x:c r="H79" s="42" t="n">
        <x:f>IF(D79="UNKNOWN",1,0)</x:f>
        <x:v>0</x:v>
      </x:c>
      <x:c r="I79" s="25" t="str">
        <x:v>Scenario policy matrix</x:v>
      </x:c>
    </x:row>
    <x:row r="80">
      <x:c r="A80" s="25" t="str">
        <x:v>D_BROADER</x:v>
      </x:c>
      <x:c r="B80" s="25" t="str">
        <x:v>MODEL_OUTPUT</x:v>
      </x:c>
      <x:c r="C80" s="25" t="str">
        <x:v>DOCS</x:v>
      </x:c>
      <x:c r="D80" s="25" t="str">
        <x:v>BLOCKED</x:v>
      </x:c>
      <x:c r="E80" s="25" t="str">
        <x:v>NO</x:v>
      </x:c>
      <x:c r="F80" s="42" t="str">
        <x:f>IF(D80="ALLOWED","YES",IF(D80="UNKNOWN","UNKNOWN","NO"))</x:f>
        <x:v>NO</x:v>
      </x:c>
      <x:c r="G80" s="42" t="n">
        <x:f>IF(AND(E80="YES",F80="YES"),1,0)</x:f>
        <x:v>0</x:v>
      </x:c>
      <x:c r="H80" s="42" t="n">
        <x:f>IF(D80="UNKNOWN",1,0)</x:f>
        <x:v>0</x:v>
      </x:c>
      <x:c r="I80" s="25" t="str">
        <x:v>Scenario policy matrix</x:v>
      </x:c>
    </x:row>
    <x:row r="81">
      <x:c r="A81" s="25" t="str">
        <x:v>D_BROADER</x:v>
      </x:c>
      <x:c r="B81" s="25" t="str">
        <x:v>MODEL_OUTPUT</x:v>
      </x:c>
      <x:c r="C81" s="25" t="str">
        <x:v>REGISTRY</x:v>
      </x:c>
      <x:c r="D81" s="25" t="str">
        <x:v>BLOCKED</x:v>
      </x:c>
      <x:c r="E81" s="25" t="str">
        <x:v>NO</x:v>
      </x:c>
      <x:c r="F81" s="42" t="str">
        <x:f>IF(D81="ALLOWED","YES",IF(D81="UNKNOWN","UNKNOWN","NO"))</x:f>
        <x:v>NO</x:v>
      </x:c>
      <x:c r="G81" s="42" t="n">
        <x:f>IF(AND(E81="YES",F81="YES"),1,0)</x:f>
        <x:v>0</x:v>
      </x:c>
      <x:c r="H81" s="42" t="n">
        <x:f>IF(D81="UNKNOWN",1,0)</x:f>
        <x:v>0</x:v>
      </x:c>
      <x:c r="I81" s="25" t="str">
        <x:v>Scenario policy matrix</x:v>
      </x:c>
    </x:row>
    <x:row r="82">
      <x:c r="A82" s="25" t="str">
        <x:v>D_BROADER</x:v>
      </x:c>
      <x:c r="B82" s="25" t="str">
        <x:v>MODEL_OUTPUT</x:v>
      </x:c>
      <x:c r="C82" s="25" t="str">
        <x:v>SOURCE_CONTROL</x:v>
      </x:c>
      <x:c r="D82" s="25" t="str">
        <x:v>BLOCKED</x:v>
      </x:c>
      <x:c r="E82" s="25" t="str">
        <x:v>NO</x:v>
      </x:c>
      <x:c r="F82" s="42" t="str">
        <x:f>IF(D82="ALLOWED","YES",IF(D82="UNKNOWN","UNKNOWN","NO"))</x:f>
        <x:v>NO</x:v>
      </x:c>
      <x:c r="G82" s="42" t="n">
        <x:f>IF(AND(E82="YES",F82="YES"),1,0)</x:f>
        <x:v>0</x:v>
      </x:c>
      <x:c r="H82" s="42" t="n">
        <x:f>IF(D82="UNKNOWN",1,0)</x:f>
        <x:v>0</x:v>
      </x:c>
      <x:c r="I82" s="25" t="str">
        <x:v>Scenario policy matrix</x:v>
      </x:c>
    </x:row>
    <x:row r="83">
      <x:c r="A83" s="25" t="str">
        <x:v>D_BROADER</x:v>
      </x:c>
      <x:c r="B83" s="25" t="str">
        <x:v>MODEL_OUTPUT</x:v>
      </x:c>
      <x:c r="C83" s="25" t="str">
        <x:v>INTERNAL_CI</x:v>
      </x:c>
      <x:c r="D83" s="25" t="str">
        <x:v>BLOCKED</x:v>
      </x:c>
      <x:c r="E83" s="25" t="str">
        <x:v>NO</x:v>
      </x:c>
      <x:c r="F83" s="42" t="str">
        <x:f>IF(D83="ALLOWED","YES",IF(D83="UNKNOWN","UNKNOWN","NO"))</x:f>
        <x:v>NO</x:v>
      </x:c>
      <x:c r="G83" s="42" t="n">
        <x:f>IF(AND(E83="YES",F83="YES"),1,0)</x:f>
        <x:v>0</x:v>
      </x:c>
      <x:c r="H83" s="42" t="n">
        <x:f>IF(D83="UNKNOWN",1,0)</x:f>
        <x:v>0</x:v>
      </x:c>
      <x:c r="I83" s="25" t="str">
        <x:v>Scenario policy matrix</x:v>
      </x:c>
    </x:row>
    <x:row r="84">
      <x:c r="A84" s="25" t="str">
        <x:v>D_BROADER</x:v>
      </x:c>
      <x:c r="B84" s="25" t="str">
        <x:v>MODEL_OUTPUT</x:v>
      </x:c>
      <x:c r="C84" s="25" t="str">
        <x:v>ARBITRARY_EXTERNAL</x:v>
      </x:c>
      <x:c r="D84" s="25" t="str">
        <x:v>ALLOWED</x:v>
      </x:c>
      <x:c r="E84" s="25" t="str">
        <x:v>NO</x:v>
      </x:c>
      <x:c r="F84" s="42" t="str">
        <x:f>IF(D84="ALLOWED","YES",IF(D84="UNKNOWN","UNKNOWN","NO"))</x:f>
        <x:v>YES</x:v>
      </x:c>
      <x:c r="G84" s="42" t="n">
        <x:f>IF(AND(E84="YES",F84="YES"),1,0)</x:f>
        <x:v>0</x:v>
      </x:c>
      <x:c r="H84" s="42" t="n">
        <x:f>IF(D84="UNKNOWN",1,0)</x:f>
        <x:v>0</x:v>
      </x:c>
      <x:c r="I84" s="25" t="str">
        <x:v>Scenario policy matrix</x:v>
      </x:c>
    </x:row>
    <x:row r="85">
      <x:c r="A85" s="25" t="str">
        <x:v>D_BROADER</x:v>
      </x:c>
      <x:c r="B85" s="25" t="str">
        <x:v>MODEL_OUTPUT</x:v>
      </x:c>
      <x:c r="C85" s="25" t="str">
        <x:v>USER_CONTROLLED</x:v>
      </x:c>
      <x:c r="D85" s="25" t="str">
        <x:v>ALLOWED</x:v>
      </x:c>
      <x:c r="E85" s="25" t="str">
        <x:v>NO</x:v>
      </x:c>
      <x:c r="F85" s="42" t="str">
        <x:f>IF(D85="ALLOWED","YES",IF(D85="UNKNOWN","UNKNOWN","NO"))</x:f>
        <x:v>YES</x:v>
      </x:c>
      <x:c r="G85" s="42" t="n">
        <x:f>IF(AND(E85="YES",F85="YES"),1,0)</x:f>
        <x:v>0</x:v>
      </x:c>
      <x:c r="H85" s="42" t="n">
        <x:f>IF(D85="UNKNOWN",1,0)</x:f>
        <x:v>0</x:v>
      </x:c>
      <x:c r="I85" s="25" t="str">
        <x:v>Scenario policy matrix</x:v>
      </x:c>
    </x:row>
    <x:row r="86">
      <x:c r="A86" s="25" t="str">
        <x:v>D_BROADER</x:v>
      </x:c>
      <x:c r="B86" s="25" t="str">
        <x:v>SECRETS</x:v>
      </x:c>
      <x:c r="C86" s="25" t="str">
        <x:v>DOCS</x:v>
      </x:c>
      <x:c r="D86" s="25" t="str">
        <x:v>BLOCKED</x:v>
      </x:c>
      <x:c r="E86" s="25" t="str">
        <x:v>YES</x:v>
      </x:c>
      <x:c r="F86" s="42" t="str">
        <x:f>IF(D86="ALLOWED","YES",IF(D86="UNKNOWN","UNKNOWN","NO"))</x:f>
        <x:v>NO</x:v>
      </x:c>
      <x:c r="G86" s="42" t="n">
        <x:f>IF(AND(E86="YES",F86="YES"),1,0)</x:f>
        <x:v>0</x:v>
      </x:c>
      <x:c r="H86" s="42" t="n">
        <x:f>IF(D86="UNKNOWN",1,0)</x:f>
        <x:v>0</x:v>
      </x:c>
      <x:c r="I86" s="25" t="str">
        <x:v>Scenario policy matrix</x:v>
      </x:c>
    </x:row>
    <x:row r="87">
      <x:c r="A87" s="25" t="str">
        <x:v>D_BROADER</x:v>
      </x:c>
      <x:c r="B87" s="25" t="str">
        <x:v>SECRETS</x:v>
      </x:c>
      <x:c r="C87" s="25" t="str">
        <x:v>REGISTRY</x:v>
      </x:c>
      <x:c r="D87" s="25" t="str">
        <x:v>BLOCKED</x:v>
      </x:c>
      <x:c r="E87" s="25" t="str">
        <x:v>YES</x:v>
      </x:c>
      <x:c r="F87" s="42" t="str">
        <x:f>IF(D87="ALLOWED","YES",IF(D87="UNKNOWN","UNKNOWN","NO"))</x:f>
        <x:v>NO</x:v>
      </x:c>
      <x:c r="G87" s="42" t="n">
        <x:f>IF(AND(E87="YES",F87="YES"),1,0)</x:f>
        <x:v>0</x:v>
      </x:c>
      <x:c r="H87" s="42" t="n">
        <x:f>IF(D87="UNKNOWN",1,0)</x:f>
        <x:v>0</x:v>
      </x:c>
      <x:c r="I87" s="25" t="str">
        <x:v>Scenario policy matrix</x:v>
      </x:c>
    </x:row>
    <x:row r="88">
      <x:c r="A88" s="25" t="str">
        <x:v>D_BROADER</x:v>
      </x:c>
      <x:c r="B88" s="25" t="str">
        <x:v>SECRETS</x:v>
      </x:c>
      <x:c r="C88" s="25" t="str">
        <x:v>SOURCE_CONTROL</x:v>
      </x:c>
      <x:c r="D88" s="25" t="str">
        <x:v>BLOCKED</x:v>
      </x:c>
      <x:c r="E88" s="25" t="str">
        <x:v>YES</x:v>
      </x:c>
      <x:c r="F88" s="42" t="str">
        <x:f>IF(D88="ALLOWED","YES",IF(D88="UNKNOWN","UNKNOWN","NO"))</x:f>
        <x:v>NO</x:v>
      </x:c>
      <x:c r="G88" s="42" t="n">
        <x:f>IF(AND(E88="YES",F88="YES"),1,0)</x:f>
        <x:v>0</x:v>
      </x:c>
      <x:c r="H88" s="42" t="n">
        <x:f>IF(D88="UNKNOWN",1,0)</x:f>
        <x:v>0</x:v>
      </x:c>
      <x:c r="I88" s="25" t="str">
        <x:v>Scenario policy matrix</x:v>
      </x:c>
    </x:row>
    <x:row r="89">
      <x:c r="A89" s="25" t="str">
        <x:v>D_BROADER</x:v>
      </x:c>
      <x:c r="B89" s="25" t="str">
        <x:v>SECRETS</x:v>
      </x:c>
      <x:c r="C89" s="25" t="str">
        <x:v>INTERNAL_CI</x:v>
      </x:c>
      <x:c r="D89" s="25" t="str">
        <x:v>BLOCKED</x:v>
      </x:c>
      <x:c r="E89" s="25" t="str">
        <x:v>YES</x:v>
      </x:c>
      <x:c r="F89" s="42" t="str">
        <x:f>IF(D89="ALLOWED","YES",IF(D89="UNKNOWN","UNKNOWN","NO"))</x:f>
        <x:v>NO</x:v>
      </x:c>
      <x:c r="G89" s="42" t="n">
        <x:f>IF(AND(E89="YES",F89="YES"),1,0)</x:f>
        <x:v>0</x:v>
      </x:c>
      <x:c r="H89" s="42" t="n">
        <x:f>IF(D89="UNKNOWN",1,0)</x:f>
        <x:v>0</x:v>
      </x:c>
      <x:c r="I89" s="25" t="str">
        <x:v>Scenario policy matrix</x:v>
      </x:c>
    </x:row>
    <x:row r="90">
      <x:c r="A90" s="25" t="str">
        <x:v>D_BROADER</x:v>
      </x:c>
      <x:c r="B90" s="25" t="str">
        <x:v>SECRETS</x:v>
      </x:c>
      <x:c r="C90" s="25" t="str">
        <x:v>ARBITRARY_EXTERNAL</x:v>
      </x:c>
      <x:c r="D90" s="25" t="str">
        <x:v>BLOCKED</x:v>
      </x:c>
      <x:c r="E90" s="25" t="str">
        <x:v>YES</x:v>
      </x:c>
      <x:c r="F90" s="42" t="str">
        <x:f>IF(D90="ALLOWED","YES",IF(D90="UNKNOWN","UNKNOWN","NO"))</x:f>
        <x:v>NO</x:v>
      </x:c>
      <x:c r="G90" s="42" t="n">
        <x:f>IF(AND(E90="YES",F90="YES"),1,0)</x:f>
        <x:v>0</x:v>
      </x:c>
      <x:c r="H90" s="42" t="n">
        <x:f>IF(D90="UNKNOWN",1,0)</x:f>
        <x:v>0</x:v>
      </x:c>
      <x:c r="I90" s="25" t="str">
        <x:v>Scenario policy matrix</x:v>
      </x:c>
    </x:row>
    <x:row r="91">
      <x:c r="A91" s="25" t="str">
        <x:v>D_BROADER</x:v>
      </x:c>
      <x:c r="B91" s="25" t="str">
        <x:v>SECRETS</x:v>
      </x:c>
      <x:c r="C91" s="25" t="str">
        <x:v>USER_CONTROLLED</x:v>
      </x:c>
      <x:c r="D91" s="25" t="str">
        <x:v>BLOCKED</x:v>
      </x:c>
      <x:c r="E91" s="25" t="str">
        <x:v>YES</x:v>
      </x:c>
      <x:c r="F91" s="42" t="str">
        <x:f>IF(D91="ALLOWED","YES",IF(D91="UNKNOWN","UNKNOWN","NO"))</x:f>
        <x:v>NO</x:v>
      </x:c>
      <x:c r="G91" s="42" t="n">
        <x:f>IF(AND(E91="YES",F91="YES"),1,0)</x:f>
        <x:v>0</x:v>
      </x:c>
      <x:c r="H91" s="42" t="n">
        <x:f>IF(D91="UNKNOWN",1,0)</x:f>
        <x:v>0</x:v>
      </x:c>
      <x:c r="I91" s="25" t="str">
        <x:v>Scenario policy matrix</x:v>
      </x:c>
    </x:row>
    <x:row r="92">
      <x:c r="A92" s="25" t="str">
        <x:v>D_BROADER</x:v>
      </x:c>
      <x:c r="B92" s="25" t="str">
        <x:v>CREDENTIALS</x:v>
      </x:c>
      <x:c r="C92" s="25" t="str">
        <x:v>DOCS</x:v>
      </x:c>
      <x:c r="D92" s="25" t="str">
        <x:v>BLOCKED</x:v>
      </x:c>
      <x:c r="E92" s="25" t="str">
        <x:v>NO</x:v>
      </x:c>
      <x:c r="F92" s="42" t="str">
        <x:f>IF(D92="ALLOWED","YES",IF(D92="UNKNOWN","UNKNOWN","NO"))</x:f>
        <x:v>NO</x:v>
      </x:c>
      <x:c r="G92" s="42" t="n">
        <x:f>IF(AND(E92="YES",F92="YES"),1,0)</x:f>
        <x:v>0</x:v>
      </x:c>
      <x:c r="H92" s="42" t="n">
        <x:f>IF(D92="UNKNOWN",1,0)</x:f>
        <x:v>0</x:v>
      </x:c>
      <x:c r="I92" s="25" t="str">
        <x:v>Scenario policy matrix</x:v>
      </x:c>
    </x:row>
    <x:row r="93">
      <x:c r="A93" s="25" t="str">
        <x:v>D_BROADER</x:v>
      </x:c>
      <x:c r="B93" s="25" t="str">
        <x:v>CREDENTIALS</x:v>
      </x:c>
      <x:c r="C93" s="25" t="str">
        <x:v>REGISTRY</x:v>
      </x:c>
      <x:c r="D93" s="25" t="str">
        <x:v>BLOCKED</x:v>
      </x:c>
      <x:c r="E93" s="25" t="str">
        <x:v>NO</x:v>
      </x:c>
      <x:c r="F93" s="42" t="str">
        <x:f>IF(D93="ALLOWED","YES",IF(D93="UNKNOWN","UNKNOWN","NO"))</x:f>
        <x:v>NO</x:v>
      </x:c>
      <x:c r="G93" s="42" t="n">
        <x:f>IF(AND(E93="YES",F93="YES"),1,0)</x:f>
        <x:v>0</x:v>
      </x:c>
      <x:c r="H93" s="42" t="n">
        <x:f>IF(D93="UNKNOWN",1,0)</x:f>
        <x:v>0</x:v>
      </x:c>
      <x:c r="I93" s="25" t="str">
        <x:v>Scenario policy matrix</x:v>
      </x:c>
    </x:row>
    <x:row r="94">
      <x:c r="A94" s="25" t="str">
        <x:v>D_BROADER</x:v>
      </x:c>
      <x:c r="B94" s="25" t="str">
        <x:v>CREDENTIALS</x:v>
      </x:c>
      <x:c r="C94" s="25" t="str">
        <x:v>SOURCE_CONTROL</x:v>
      </x:c>
      <x:c r="D94" s="25" t="str">
        <x:v>BLOCKED</x:v>
      </x:c>
      <x:c r="E94" s="25" t="str">
        <x:v>NO</x:v>
      </x:c>
      <x:c r="F94" s="42" t="str">
        <x:f>IF(D94="ALLOWED","YES",IF(D94="UNKNOWN","UNKNOWN","NO"))</x:f>
        <x:v>NO</x:v>
      </x:c>
      <x:c r="G94" s="42" t="n">
        <x:f>IF(AND(E94="YES",F94="YES"),1,0)</x:f>
        <x:v>0</x:v>
      </x:c>
      <x:c r="H94" s="42" t="n">
        <x:f>IF(D94="UNKNOWN",1,0)</x:f>
        <x:v>0</x:v>
      </x:c>
      <x:c r="I94" s="25" t="str">
        <x:v>Scenario policy matrix</x:v>
      </x:c>
    </x:row>
    <x:row r="95">
      <x:c r="A95" s="25" t="str">
        <x:v>D_BROADER</x:v>
      </x:c>
      <x:c r="B95" s="25" t="str">
        <x:v>CREDENTIALS</x:v>
      </x:c>
      <x:c r="C95" s="25" t="str">
        <x:v>INTERNAL_CI</x:v>
      </x:c>
      <x:c r="D95" s="25" t="str">
        <x:v>APPROVAL-GATED</x:v>
      </x:c>
      <x:c r="E95" s="25" t="str">
        <x:v>NO</x:v>
      </x:c>
      <x:c r="F95" s="42" t="str">
        <x:f>IF(D95="ALLOWED","YES",IF(D95="UNKNOWN","UNKNOWN","NO"))</x:f>
        <x:v>NO</x:v>
      </x:c>
      <x:c r="G95" s="42" t="n">
        <x:f>IF(AND(E95="YES",F95="YES"),1,0)</x:f>
        <x:v>0</x:v>
      </x:c>
      <x:c r="H95" s="42" t="n">
        <x:f>IF(D95="UNKNOWN",1,0)</x:f>
        <x:v>0</x:v>
      </x:c>
      <x:c r="I95" s="25" t="str">
        <x:v>Scenario policy matrix</x:v>
      </x:c>
    </x:row>
    <x:row r="96">
      <x:c r="A96" s="25" t="str">
        <x:v>D_BROADER</x:v>
      </x:c>
      <x:c r="B96" s="25" t="str">
        <x:v>CREDENTIALS</x:v>
      </x:c>
      <x:c r="C96" s="25" t="str">
        <x:v>ARBITRARY_EXTERNAL</x:v>
      </x:c>
      <x:c r="D96" s="25" t="str">
        <x:v>BLOCKED</x:v>
      </x:c>
      <x:c r="E96" s="25" t="str">
        <x:v>NO</x:v>
      </x:c>
      <x:c r="F96" s="42" t="str">
        <x:f>IF(D96="ALLOWED","YES",IF(D96="UNKNOWN","UNKNOWN","NO"))</x:f>
        <x:v>NO</x:v>
      </x:c>
      <x:c r="G96" s="42" t="n">
        <x:f>IF(AND(E96="YES",F96="YES"),1,0)</x:f>
        <x:v>0</x:v>
      </x:c>
      <x:c r="H96" s="42" t="n">
        <x:f>IF(D96="UNKNOWN",1,0)</x:f>
        <x:v>0</x:v>
      </x:c>
      <x:c r="I96" s="25" t="str">
        <x:v>Scenario policy matrix</x:v>
      </x:c>
    </x:row>
    <x:row r="97">
      <x:c r="A97" s="25" t="str">
        <x:v>D_BROADER</x:v>
      </x:c>
      <x:c r="B97" s="25" t="str">
        <x:v>CREDENTIALS</x:v>
      </x:c>
      <x:c r="C97" s="25" t="str">
        <x:v>USER_CONTROLLED</x:v>
      </x:c>
      <x:c r="D97" s="25" t="str">
        <x:v>BLOCKED</x:v>
      </x:c>
      <x:c r="E97" s="25" t="str">
        <x:v>NO</x:v>
      </x:c>
      <x:c r="F97" s="42" t="str">
        <x:f>IF(D97="ALLOWED","YES",IF(D97="UNKNOWN","UNKNOWN","NO"))</x:f>
        <x:v>NO</x:v>
      </x:c>
      <x:c r="G97" s="42" t="n">
        <x:f>IF(AND(E97="YES",F97="YES"),1,0)</x:f>
        <x:v>0</x:v>
      </x:c>
      <x:c r="H97" s="42" t="n">
        <x:f>IF(D97="UNKNOWN",1,0)</x:f>
        <x:v>0</x:v>
      </x:c>
      <x:c r="I97" s="25" t="str">
        <x:v>Scenario policy matrix</x:v>
      </x:c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</x:row>
    <x:row r="100">
      <x:c r="A100" s="26" t="str">
        <x:v>Policy summary</x:v>
      </x:c>
      <x:c r="B100" s="26" t="str">
        <x:v>Prohibited autonomous paths</x:v>
      </x:c>
      <x:c r="C100" s="26" t="str">
        <x:v>Unknown paths</x:v>
      </x:c>
      <x:c r="D100" s="26" t="str">
        <x:v>State</x:v>
      </x:c>
      <x:c r="E100" s="25"/>
      <x:c r="F100" s="25"/>
      <x:c r="G100" s="25"/>
      <x:c r="H100" s="25"/>
      <x:c r="I100" s="25"/>
    </x:row>
    <x:row r="101">
      <x:c r="A101" s="25" t="str">
        <x:v>C_SCOPED_AUTH</x:v>
      </x:c>
      <x:c r="B101" s="42" t="n">
        <x:f>SUM(G2:G49)</x:f>
        <x:v>0</x:v>
      </x:c>
      <x:c r="C101" s="42" t="n">
        <x:f>SUM(H2:H49)</x:f>
        <x:v>0</x:v>
      </x:c>
      <x:c r="D101" s="42" t="str">
        <x:f>IF(AND(B101=0,C101=0),"PASS",IF(C101&gt;0,"UNKNOWN","PROHIBITED PATH"))</x:f>
        <x:v>PASS</x:v>
      </x:c>
      <x:c r="E101" s="25"/>
      <x:c r="F101" s="25"/>
      <x:c r="G101" s="25"/>
      <x:c r="H101" s="25"/>
      <x:c r="I101" s="25"/>
    </x:row>
    <x:row r="102">
      <x:c r="A102" s="25" t="str">
        <x:v>D_BROADER</x:v>
      </x:c>
      <x:c r="B102" s="42" t="n">
        <x:f>SUM(G50:G97)</x:f>
        <x:v>8</x:v>
      </x:c>
      <x:c r="C102" s="42" t="n">
        <x:f>SUM(H50:H97)</x:f>
        <x:v>0</x:v>
      </x:c>
      <x:c r="D102" s="42" t="str">
        <x:f>IF(AND(B102=0,C102=0),"PASS",IF(C102&gt;0,"UNKNOWN","PROHIBITED PATH"))</x:f>
        <x:v>PROHIBITED PATH</x:v>
      </x:c>
      <x:c r="E102" s="25"/>
      <x:c r="F102" s="25"/>
      <x:c r="G102" s="25"/>
      <x:c r="H102" s="25"/>
      <x:c r="I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6" t="str">
        <x:v>Task</x:v>
      </x:c>
      <x:c r="B1" s="26" t="str">
        <x:v>Weight</x:v>
      </x:c>
      <x:c r="C1" s="26" t="str">
        <x:v>E1 req</x:v>
      </x:c>
      <x:c r="D1" s="26" t="str">
        <x:v>E2 req</x:v>
      </x:c>
      <x:c r="E1" s="26" t="str">
        <x:v>E3 req</x:v>
      </x:c>
      <x:c r="F1" s="26" t="str">
        <x:v>E4 req</x:v>
      </x:c>
      <x:c r="G1" s="26" t="str">
        <x:v>E5 req</x:v>
      </x:c>
      <x:c r="H1" s="26" t="str">
        <x:v>E6 req</x:v>
      </x:c>
      <x:c r="I1" s="26" t="str">
        <x:v>E7 req</x:v>
      </x:c>
      <x:c r="J1" s="26" t="str">
        <x:v>A success</x:v>
      </x:c>
      <x:c r="K1" s="26" t="str">
        <x:v>B success</x:v>
      </x:c>
      <x:c r="L1" s="26" t="str">
        <x:v>C success</x:v>
      </x:c>
      <x:c r="M1" s="26" t="str">
        <x:v>D success</x:v>
      </x:c>
    </x:row>
    <x:row r="2">
      <x:c r="A2" s="25" t="str">
        <x:v>T1 Local edit/tests</x:v>
      </x:c>
      <x:c r="B2" s="25" t="n">
        <x:v>2</x:v>
      </x:c>
      <x:c r="C2" s="25" t="n">
        <x:v>0</x:v>
      </x:c>
      <x:c r="D2" s="25" t="n">
        <x:v>0</x:v>
      </x:c>
      <x:c r="E2" s="25" t="n">
        <x:v>0</x:v>
      </x:c>
      <x:c r="F2" s="25" t="n">
        <x:v>0</x:v>
      </x:c>
      <x:c r="G2" s="25" t="n">
        <x:v>0</x:v>
      </x:c>
      <x:c r="H2" s="25" t="n">
        <x:v>0</x:v>
      </x:c>
      <x:c r="I2" s="25" t="n">
        <x:v>0</x:v>
      </x:c>
      <x:c r="J2" s="42" t="n">
        <x:f>MIN(IF(C2=1,POLICIES!D2,1),IF(D2=1,POLICIES!E2,1),IF(E2=1,POLICIES!F2,1),IF(F2=1,POLICIES!G2,1),IF(G2=1,POLICIES!H2,1),IF(H2=1,POLICIES!I2,1),IF(I2=1,POLICIES!J2,1))</x:f>
        <x:v>1</x:v>
      </x:c>
      <x:c r="K2" s="42" t="n">
        <x:f>MIN(IF(C2=1,POLICIES!D3,1),IF(D2=1,POLICIES!E3,1),IF(E2=1,POLICIES!F3,1),IF(F2=1,POLICIES!G3,1),IF(G2=1,POLICIES!H3,1),IF(H2=1,POLICIES!I3,1),IF(I2=1,POLICIES!J3,1))</x:f>
        <x:v>1</x:v>
      </x:c>
      <x:c r="L2" s="42" t="n">
        <x:f>MIN(IF(C2=1,POLICIES!D4,1),IF(D2=1,POLICIES!E4,1),IF(E2=1,POLICIES!F4,1),IF(F2=1,POLICIES!G4,1),IF(G2=1,POLICIES!H4,1),IF(H2=1,POLICIES!I4,1),IF(I2=1,POLICIES!J4,1))</x:f>
        <x:v>1</x:v>
      </x:c>
      <x:c r="M2" s="42" t="n">
        <x:f>MIN(IF(C2=1,POLICIES!D5,1),IF(D2=1,POLICIES!E5,1),IF(E2=1,POLICIES!F5,1),IF(F2=1,POLICIES!G5,1),IF(G2=1,POLICIES!H5,1),IF(H2=1,POLICIES!I5,1),IF(I2=1,POLICIES!J5,1))</x:f>
        <x:v>1</x:v>
      </x:c>
    </x:row>
    <x:row r="3">
      <x:c r="A3" s="25" t="str">
        <x:v>T2 Approved docs</x:v>
      </x:c>
      <x:c r="B3" s="25" t="n">
        <x:v>1</x:v>
      </x:c>
      <x:c r="C3" s="25" t="n">
        <x:v>1</x:v>
      </x:c>
      <x:c r="D3" s="25" t="n">
        <x:v>0</x:v>
      </x:c>
      <x:c r="E3" s="25" t="n">
        <x:v>0</x:v>
      </x:c>
      <x:c r="F3" s="25" t="n">
        <x:v>0</x:v>
      </x:c>
      <x:c r="G3" s="25" t="n">
        <x:v>0</x:v>
      </x:c>
      <x:c r="H3" s="25" t="n">
        <x:v>0</x:v>
      </x:c>
      <x:c r="I3" s="25" t="n">
        <x:v>0</x:v>
      </x:c>
      <x:c r="J3" s="42" t="n">
        <x:f>MIN(IF(C3=1,POLICIES!D2,1),IF(D3=1,POLICIES!E2,1),IF(E3=1,POLICIES!F2,1),IF(F3=1,POLICIES!G2,1),IF(G3=1,POLICIES!H2,1),IF(H3=1,POLICIES!I2,1),IF(I3=1,POLICIES!J2,1))</x:f>
        <x:v>0</x:v>
      </x:c>
      <x:c r="K3" s="42" t="n">
        <x:f>MIN(IF(C3=1,POLICIES!D3,1),IF(D3=1,POLICIES!E3,1),IF(E3=1,POLICIES!F3,1),IF(F3=1,POLICIES!G3,1),IF(G3=1,POLICIES!H3,1),IF(H3=1,POLICIES!I3,1),IF(I3=1,POLICIES!J3,1))</x:f>
        <x:v>1</x:v>
      </x:c>
      <x:c r="L3" s="42" t="n">
        <x:f>MIN(IF(C3=1,POLICIES!D4,1),IF(D3=1,POLICIES!E4,1),IF(E3=1,POLICIES!F4,1),IF(F3=1,POLICIES!G4,1),IF(G3=1,POLICIES!H4,1),IF(H3=1,POLICIES!I4,1),IF(I3=1,POLICIES!J4,1))</x:f>
        <x:v>1</x:v>
      </x:c>
      <x:c r="M3" s="42" t="n">
        <x:f>MIN(IF(C3=1,POLICIES!D5,1),IF(D3=1,POLICIES!E5,1),IF(E3=1,POLICIES!F5,1),IF(F3=1,POLICIES!G5,1),IF(G3=1,POLICIES!H5,1),IF(H3=1,POLICIES!I5,1),IF(I3=1,POLICIES!J5,1))</x:f>
        <x:v>1</x:v>
      </x:c>
    </x:row>
    <x:row r="4">
      <x:c r="A4" s="25" t="str">
        <x:v>T3 Registry dependency</x:v>
      </x:c>
      <x:c r="B4" s="25" t="n">
        <x:v>2</x:v>
      </x:c>
      <x:c r="C4" s="25" t="n">
        <x:v>0</x:v>
      </x:c>
      <x:c r="D4" s="25" t="n">
        <x:v>1</x:v>
      </x:c>
      <x:c r="E4" s="25" t="n">
        <x:v>0</x:v>
      </x:c>
      <x:c r="F4" s="25" t="n">
        <x:v>0</x:v>
      </x:c>
      <x:c r="G4" s="25" t="n">
        <x:v>0</x:v>
      </x:c>
      <x:c r="H4" s="25" t="n">
        <x:v>0</x:v>
      </x:c>
      <x:c r="I4" s="25" t="n">
        <x:v>0</x:v>
      </x:c>
      <x:c r="J4" s="42" t="n">
        <x:f>MIN(IF(C4=1,POLICIES!D2,1),IF(D4=1,POLICIES!E2,1),IF(E4=1,POLICIES!F2,1),IF(F4=1,POLICIES!G2,1),IF(G4=1,POLICIES!H2,1),IF(H4=1,POLICIES!I2,1),IF(I4=1,POLICIES!J2,1))</x:f>
        <x:v>0</x:v>
      </x:c>
      <x:c r="K4" s="42" t="n">
        <x:f>MIN(IF(C4=1,POLICIES!D3,1),IF(D4=1,POLICIES!E3,1),IF(E4=1,POLICIES!F3,1),IF(F4=1,POLICIES!G3,1),IF(G4=1,POLICIES!H3,1),IF(H4=1,POLICIES!I3,1),IF(I4=1,POLICIES!J3,1))</x:f>
        <x:v>1</x:v>
      </x:c>
      <x:c r="L4" s="42" t="n">
        <x:f>MIN(IF(C4=1,POLICIES!D4,1),IF(D4=1,POLICIES!E4,1),IF(E4=1,POLICIES!F4,1),IF(F4=1,POLICIES!G4,1),IF(G4=1,POLICIES!H4,1),IF(H4=1,POLICIES!I4,1),IF(I4=1,POLICIES!J4,1))</x:f>
        <x:v>1</x:v>
      </x:c>
      <x:c r="M4" s="42" t="n">
        <x:f>MIN(IF(C4=1,POLICIES!D5,1),IF(D4=1,POLICIES!E5,1),IF(E4=1,POLICIES!F5,1),IF(F4=1,POLICIES!G5,1),IF(G4=1,POLICIES!H5,1),IF(H4=1,POLICIES!I5,1),IF(I4=1,POLICIES!J5,1))</x:f>
        <x:v>1</x:v>
      </x:c>
    </x:row>
    <x:row r="5">
      <x:c r="A5" s="25" t="str">
        <x:v>T4 Upstream source read</x:v>
      </x:c>
      <x:c r="B5" s="25" t="n">
        <x:v>2</x:v>
      </x:c>
      <x:c r="C5" s="25" t="n">
        <x:v>0</x:v>
      </x:c>
      <x:c r="D5" s="25" t="n">
        <x:v>0</x:v>
      </x:c>
      <x:c r="E5" s="25" t="n">
        <x:v>1</x:v>
      </x:c>
      <x:c r="F5" s="25" t="n">
        <x:v>0</x:v>
      </x:c>
      <x:c r="G5" s="25" t="n">
        <x:v>0</x:v>
      </x:c>
      <x:c r="H5" s="25" t="n">
        <x:v>0</x:v>
      </x:c>
      <x:c r="I5" s="25" t="n">
        <x:v>0</x:v>
      </x:c>
      <x:c r="J5" s="42" t="n">
        <x:f>MIN(IF(C5=1,POLICIES!D2,1),IF(D5=1,POLICIES!E2,1),IF(E5=1,POLICIES!F2,1),IF(F5=1,POLICIES!G2,1),IF(G5=1,POLICIES!H2,1),IF(H5=1,POLICIES!I2,1),IF(I5=1,POLICIES!J2,1))</x:f>
        <x:v>0</x:v>
      </x:c>
      <x:c r="K5" s="42" t="n">
        <x:f>MIN(IF(C5=1,POLICIES!D3,1),IF(D5=1,POLICIES!E3,1),IF(E5=1,POLICIES!F3,1),IF(F5=1,POLICIES!G3,1),IF(G5=1,POLICIES!H3,1),IF(H5=1,POLICIES!I3,1),IF(I5=1,POLICIES!J3,1))</x:f>
        <x:v>1</x:v>
      </x:c>
      <x:c r="L5" s="42" t="n">
        <x:f>MIN(IF(C5=1,POLICIES!D4,1),IF(D5=1,POLICIES!E4,1),IF(E5=1,POLICIES!F4,1),IF(F5=1,POLICIES!G4,1),IF(G5=1,POLICIES!H4,1),IF(H5=1,POLICIES!I4,1),IF(I5=1,POLICIES!J4,1))</x:f>
        <x:v>1</x:v>
      </x:c>
      <x:c r="M5" s="42" t="n">
        <x:f>MIN(IF(C5=1,POLICIES!D5,1),IF(D5=1,POLICIES!E5,1),IF(E5=1,POLICIES!F5,1),IF(F5=1,POLICIES!G5,1),IF(G5=1,POLICIES!H5,1),IF(H5=1,POLICIES!I5,1),IF(I5=1,POLICIES!J5,1))</x:f>
        <x:v>1</x:v>
      </x:c>
    </x:row>
    <x:row r="6">
      <x:c r="A6" s="25" t="str">
        <x:v>T5 Internal CI submit</x:v>
      </x:c>
      <x:c r="B6" s="25" t="n">
        <x:v>3</x:v>
      </x:c>
      <x:c r="C6" s="25" t="n">
        <x:v>0</x:v>
      </x:c>
      <x:c r="D6" s="25" t="n">
        <x:v>0</x:v>
      </x:c>
      <x:c r="E6" s="25" t="n">
        <x:v>0</x:v>
      </x:c>
      <x:c r="F6" s="25" t="n">
        <x:v>1</x:v>
      </x:c>
      <x:c r="G6" s="25" t="n">
        <x:v>0</x:v>
      </x:c>
      <x:c r="H6" s="25" t="n">
        <x:v>0</x:v>
      </x:c>
      <x:c r="I6" s="25" t="n">
        <x:v>0</x:v>
      </x:c>
      <x:c r="J6" s="42" t="n">
        <x:f>MIN(IF(C6=1,POLICIES!D2,1),IF(D6=1,POLICIES!E2,1),IF(E6=1,POLICIES!F2,1),IF(F6=1,POLICIES!G2,1),IF(G6=1,POLICIES!H2,1),IF(H6=1,POLICIES!I2,1),IF(I6=1,POLICIES!J2,1))</x:f>
        <x:v>0</x:v>
      </x:c>
      <x:c r="K6" s="42" t="n">
        <x:f>MIN(IF(C6=1,POLICIES!D3,1),IF(D6=1,POLICIES!E3,1),IF(E6=1,POLICIES!F3,1),IF(F6=1,POLICIES!G3,1),IF(G6=1,POLICIES!H3,1),IF(H6=1,POLICIES!I3,1),IF(I6=1,POLICIES!J3,1))</x:f>
        <x:v>0</x:v>
      </x:c>
      <x:c r="L6" s="42" t="n">
        <x:f>MIN(IF(C6=1,POLICIES!D4,1),IF(D6=1,POLICIES!E4,1),IF(E6=1,POLICIES!F4,1),IF(F6=1,POLICIES!G4,1),IF(G6=1,POLICIES!H4,1),IF(H6=1,POLICIES!I4,1),IF(I6=1,POLICIES!J4,1))</x:f>
        <x:v>1</x:v>
      </x:c>
      <x:c r="M6" s="42" t="n">
        <x:f>MIN(IF(C6=1,POLICIES!D5,1),IF(D6=1,POLICIES!E5,1),IF(E6=1,POLICIES!F5,1),IF(F6=1,POLICIES!G5,1),IF(G6=1,POLICIES!H5,1),IF(H6=1,POLICIES!I5,1),IF(I6=1,POLICIES!J5,1))</x:f>
        <x:v>1</x:v>
      </x:c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</x:row>
    <x:row r="9">
      <x:c r="A9" s="26" t="str">
        <x:v>Policy</x:v>
      </x:c>
      <x:c r="B9" s="26" t="str">
        <x:v>Weighted utility</x:v>
      </x:c>
      <x:c r="C9" s="26" t="str">
        <x:v>Classification</x:v>
      </x:c>
      <x:c r="D9" s="26" t="str">
        <x:v>Critical coverage proxy</x:v>
      </x:c>
      <x:c r="E9" s="26" t="str">
        <x:v>Task results</x:v>
      </x:c>
      <x:c r="F9" s="26" t="str">
        <x:v>Note</x:v>
      </x:c>
      <x:c r="G9" s="25"/>
      <x:c r="H9" s="25"/>
      <x:c r="I9" s="25"/>
      <x:c r="J9" s="25"/>
      <x:c r="K9" s="25"/>
      <x:c r="L9" s="25"/>
      <x:c r="M9" s="25"/>
    </x:row>
    <x:row r="10">
      <x:c r="A10" s="25" t="str">
        <x:v>A_OFFLINE</x:v>
      </x:c>
      <x:c r="B10" s="48" t="n">
        <x:f>SUMPRODUCT($B$2:$B$6,J$2:J$6)/SUM($B$2:$B$6)</x:f>
        <x:v>0.2</x:v>
      </x:c>
      <x:c r="C10" s="42" t="str">
        <x:v>SCENARIO deterministic policy feasibility</x:v>
      </x:c>
      <x:c r="D10" s="48" t="n">
        <x:f>SUM(J3:J6)/4</x:f>
        <x:v>0</x:v>
      </x:c>
      <x:c r="E10" s="42" t="str">
        <x:f>J2&amp;"|"&amp;J3&amp;"|"&amp;J4&amp;"|"&amp;J5&amp;"|"&amp;J6</x:f>
        <x:v>1|0|0|0|0</x:v>
      </x:c>
      <x:c r="F10" s="25" t="str">
        <x:v>Not an empirical agent-success probability.</x:v>
      </x:c>
      <x:c r="G10" s="25"/>
      <x:c r="H10" s="25"/>
      <x:c r="I10" s="25"/>
      <x:c r="J10" s="25"/>
      <x:c r="K10" s="25"/>
      <x:c r="L10" s="25"/>
      <x:c r="M10" s="25"/>
    </x:row>
    <x:row r="11">
      <x:c r="A11" s="25" t="str">
        <x:v>B_PUBLIC_ALLOWLIST</x:v>
      </x:c>
      <x:c r="B11" s="48" t="n">
        <x:f>SUMPRODUCT($B$2:$B$6,K$2:K$6)/SUM($B$2:$B$6)</x:f>
        <x:v>0.7</x:v>
      </x:c>
      <x:c r="C11" s="42" t="str">
        <x:v>SCENARIO deterministic policy feasibility</x:v>
      </x:c>
      <x:c r="D11" s="48" t="n">
        <x:f>SUM(K3:K6)/4</x:f>
        <x:v>0.75</x:v>
      </x:c>
      <x:c r="E11" s="42" t="str">
        <x:f>K2&amp;"|"&amp;K3&amp;"|"&amp;K4&amp;"|"&amp;K5&amp;"|"&amp;K6</x:f>
        <x:v>1|1|1|1|0</x:v>
      </x:c>
      <x:c r="F11" s="25" t="str">
        <x:v>Not an empirical agent-success probability.</x:v>
      </x:c>
      <x:c r="G11" s="25"/>
      <x:c r="H11" s="25"/>
      <x:c r="I11" s="25"/>
      <x:c r="J11" s="25"/>
      <x:c r="K11" s="25"/>
      <x:c r="L11" s="25"/>
      <x:c r="M11" s="25"/>
    </x:row>
    <x:row r="12">
      <x:c r="A12" s="25" t="str">
        <x:v>C_SCOPED_AUTH</x:v>
      </x:c>
      <x:c r="B12" s="48" t="n">
        <x:f>SUMPRODUCT($B$2:$B$6,L$2:L$6)/SUM($B$2:$B$6)</x:f>
        <x:v>1</x:v>
      </x:c>
      <x:c r="C12" s="42" t="str">
        <x:v>SCENARIO deterministic policy feasibility</x:v>
      </x:c>
      <x:c r="D12" s="48" t="n">
        <x:f>SUM(L3:L6)/4</x:f>
        <x:v>1</x:v>
      </x:c>
      <x:c r="E12" s="42" t="str">
        <x:f>L2&amp;"|"&amp;L3&amp;"|"&amp;L4&amp;"|"&amp;L5&amp;"|"&amp;L6</x:f>
        <x:v>1|1|1|1|1</x:v>
      </x:c>
      <x:c r="F12" s="25" t="str">
        <x:v>Not an empirical agent-success probability.</x:v>
      </x:c>
      <x:c r="G12" s="25"/>
      <x:c r="H12" s="25"/>
      <x:c r="I12" s="25"/>
      <x:c r="J12" s="25"/>
      <x:c r="K12" s="25"/>
      <x:c r="L12" s="25"/>
      <x:c r="M12" s="25"/>
    </x:row>
    <x:row r="13">
      <x:c r="A13" s="25" t="str">
        <x:v>D_BROADER</x:v>
      </x:c>
      <x:c r="B13" s="48" t="n">
        <x:f>SUMPRODUCT($B$2:$B$6,M$2:M$6)/SUM($B$2:$B$6)</x:f>
        <x:v>1</x:v>
      </x:c>
      <x:c r="C13" s="42" t="str">
        <x:v>SCENARIO deterministic policy feasibility</x:v>
      </x:c>
      <x:c r="D13" s="48" t="n">
        <x:f>SUM(M3:M6)/4</x:f>
        <x:v>1</x:v>
      </x:c>
      <x:c r="E13" s="42" t="str">
        <x:f>M2&amp;"|"&amp;M3&amp;"|"&amp;M4&amp;"|"&amp;M5&amp;"|"&amp;M6</x:f>
        <x:v>1|1|1|1|1</x:v>
      </x:c>
      <x:c r="F13" s="25" t="str">
        <x:v>Not an empirical agent-success probability.</x:v>
      </x:c>
      <x:c r="G13" s="25"/>
      <x:c r="H13" s="25"/>
      <x:c r="I13" s="25"/>
      <x:c r="J13" s="25"/>
      <x:c r="K13" s="25"/>
      <x:c r="L13" s="25"/>
      <x:c r="M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</x:row>
    <x:row r="16">
      <x:c r="A16" s="26" t="str">
        <x:v>Policy</x:v>
      </x:c>
      <x:c r="B16" s="26" t="str">
        <x:v>Variable-research scenario utility</x:v>
      </x:c>
      <x:c r="C16" s="26" t="str">
        <x:v>Critical external coverage</x:v>
      </x:c>
      <x:c r="D16" s="26" t="str">
        <x:v>Mode</x:v>
      </x:c>
      <x:c r="E16" s="26" t="str">
        <x:v>Interpretation</x:v>
      </x:c>
      <x:c r="F16" s="25"/>
      <x:c r="G16" s="25"/>
      <x:c r="H16" s="25"/>
      <x:c r="I16" s="25"/>
      <x:c r="J16" s="25"/>
      <x:c r="K16" s="25"/>
      <x:c r="L16" s="25"/>
      <x:c r="M16" s="25"/>
    </x:row>
    <x:row r="17">
      <x:c r="A17" s="25" t="str">
        <x:v>A_OFFLINE</x:v>
      </x:c>
      <x:c r="B17" s="49" t="n">
        <x:v>0.16666666666666666</x:v>
      </x:c>
      <x:c r="C17" s="49" t="n">
        <x:v>0</x:v>
      </x:c>
      <x:c r="D17" s="25" t="str">
        <x:v>NETWORK OFF</x:v>
      </x:c>
      <x:c r="E17" s="25" t="str">
        <x:v>Local-only part works; current external research does not.</x:v>
      </x:c>
      <x:c r="F17" s="25"/>
      <x:c r="G17" s="25"/>
      <x:c r="H17" s="25"/>
      <x:c r="I17" s="25"/>
      <x:c r="J17" s="25"/>
      <x:c r="K17" s="25"/>
      <x:c r="L17" s="25"/>
      <x:c r="M17" s="25"/>
    </x:row>
    <x:row r="18">
      <x:c r="A18" s="25" t="str">
        <x:v>B_PUBLIC_ALLOWLIST</x:v>
      </x:c>
      <x:c r="B18" s="49" t="n">
        <x:v>0.6666666666666666</x:v>
      </x:c>
      <x:c r="C18" s="49" t="n">
        <x:v>0.6</x:v>
      </x:c>
      <x:c r="D18" s="25" t="str">
        <x:v>RESTRICTED</x:v>
      </x:c>
      <x:c r="E18" s="25" t="str">
        <x:v>Known destinations work; newly discovered public sources are blocked.</x:v>
      </x:c>
      <x:c r="F18" s="25"/>
      <x:c r="G18" s="25"/>
      <x:c r="H18" s="25"/>
      <x:c r="I18" s="25"/>
      <x:c r="J18" s="25"/>
      <x:c r="K18" s="25"/>
      <x:c r="L18" s="25"/>
      <x:c r="M18" s="25"/>
    </x:row>
    <x:row r="19">
      <x:c r="A19" s="25" t="str">
        <x:v>C_SCOPED_AUTH</x:v>
      </x:c>
      <x:c r="B19" s="49" t="n">
        <x:v>0.6666666666666666</x:v>
      </x:c>
      <x:c r="C19" s="49" t="n">
        <x:v>0.6</x:v>
      </x:c>
      <x:c r="D19" s="25" t="str">
        <x:v>RESTRICTED</x:v>
      </x:c>
      <x:c r="E19" s="25" t="str">
        <x:v>Auth does not solve unknown public destination discovery.</x:v>
      </x:c>
      <x:c r="F19" s="25"/>
      <x:c r="G19" s="25"/>
      <x:c r="H19" s="25"/>
      <x:c r="I19" s="25"/>
      <x:c r="J19" s="25"/>
      <x:c r="K19" s="25"/>
      <x:c r="L19" s="25"/>
      <x:c r="M19" s="25"/>
    </x:row>
    <x:row r="20">
      <x:c r="A20" s="25" t="str">
        <x:v>D_BROADER</x:v>
      </x:c>
      <x:c r="B20" s="49" t="n">
        <x:v>1</x:v>
      </x:c>
      <x:c r="C20" s="49" t="n">
        <x:v>1</x:v>
      </x:c>
      <x:c r="D20" s="25" t="str">
        <x:v>BROADER</x:v>
      </x:c>
      <x:c r="E20" s="25" t="str">
        <x:v>Scenario trace can reach all declared variable research dependencies.</x:v>
      </x:c>
      <x:c r="F20" s="25"/>
      <x:c r="G20" s="25"/>
      <x:c r="H20" s="25"/>
      <x:c r="I20" s="25"/>
      <x:c r="J20" s="25"/>
      <x:c r="K20" s="25"/>
      <x:c r="L20" s="25"/>
      <x:c r="M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26" t="str">
        <x:v>Selected policy</x:v>
      </x:c>
      <x:c r="B1" s="26" t="str">
        <x:v>Value</x:v>
      </x:c>
      <x:c r="C1" s="26" t="str">
        <x:v>State</x:v>
      </x:c>
      <x:c r="D1" s="26" t="str">
        <x:v>Note</x:v>
      </x:c>
      <x:c r="E1" s="25"/>
      <x:c r="F1" s="25"/>
      <x:c r="G1" s="25"/>
      <x:c r="H1" s="25"/>
    </x:row>
    <x:row r="2">
      <x:c r="A2" s="25" t="str">
        <x:v>Policy ID</x:v>
      </x:c>
      <x:c r="B2" s="36" t="str">
        <x:v>C_SCOPED_AUTH</x:v>
      </x:c>
      <x:c r="C2" s="25" t="str">
        <x:f>IF(OR(B2="A_OFFLINE",B2="B_PUBLIC_ALLOWLIST",B2="C_SCOPED_AUTH",B2="D_BROADER"),"PASS","UNKNOWN")</x:f>
        <x:v>PASS</x:v>
      </x:c>
      <x:c r="D2" s="25" t="str">
        <x:v>Edit to inspect another policy.</x:v>
      </x:c>
      <x:c r="E2" s="25"/>
      <x:c r="F2" s="25"/>
      <x:c r="G2" s="25"/>
      <x:c r="H2" s="25"/>
    </x:row>
    <x:row r="3">
      <x:c r="A3" s="25" t="str">
        <x:v>Required capabilities</x:v>
      </x:c>
      <x:c r="B3" s="25" t="str">
        <x:v>E1|E2|E3|E4</x:v>
      </x:c>
      <x:c r="C3" s="25" t="str"/>
      <x:c r="D3" s="25" t="str">
        <x:v>From DESTINATIONS required flags.</x:v>
      </x:c>
      <x:c r="E3" s="25"/>
      <x:c r="F3" s="25"/>
      <x:c r="G3" s="25"/>
      <x:c r="H3" s="25"/>
    </x:row>
    <x:row r="4">
      <x:c r="A4" s="25" t="str">
        <x:v>Egress overhang count</x:v>
      </x:c>
      <x:c r="B4" s="42" t="n">
        <x:f>IF(B2="A_OFFLINE",POLICIES!N2,IF(B2="B_PUBLIC_ALLOWLIST",POLICIES!N3,IF(B2="C_SCOPED_AUTH",POLICIES!N4,IF(B2="D_BROADER",POLICIES!N5,"UNKNOWN"))))</x:f>
        <x:v>0</x:v>
      </x:c>
      <x:c r="C4" s="42" t="str">
        <x:f>IF(B4="UNKNOWN","UNKNOWN",IF(B4=0,"MINIMAL FOR REQUIREMENTS","OVERHANG PRESENT"))</x:f>
        <x:v>MINIMAL FOR REQUIREMENTS</x:v>
      </x:c>
      <x:c r="D4" s="25" t="str">
        <x:v>Granted but not required.</x:v>
      </x:c>
      <x:c r="E4" s="25"/>
      <x:c r="F4" s="25"/>
      <x:c r="G4" s="25"/>
      <x:c r="H4" s="25"/>
    </x:row>
    <x:row r="5">
      <x:c r="A5" s="25"/>
      <x:c r="B5" s="25"/>
      <x:c r="C5" s="25"/>
      <x:c r="D5" s="25"/>
      <x:c r="E5" s="25"/>
      <x:c r="F5" s="25"/>
      <x:c r="G5" s="25"/>
      <x:c r="H5" s="25"/>
    </x:row>
    <x:row r="6">
      <x:c r="A6" s="25"/>
      <x:c r="B6" s="25"/>
      <x:c r="C6" s="25"/>
      <x:c r="D6" s="25"/>
      <x:c r="E6" s="25"/>
      <x:c r="F6" s="25"/>
      <x:c r="G6" s="25"/>
      <x:c r="H6" s="25"/>
    </x:row>
    <x:row r="7">
      <x:c r="A7" s="26" t="str">
        <x:v>Cap ID</x:v>
      </x:c>
      <x:c r="B7" s="26" t="str">
        <x:v>Required?</x:v>
      </x:c>
      <x:c r="C7" s="26" t="str">
        <x:v>Granted?</x:v>
      </x:c>
      <x:c r="D7" s="26" t="str">
        <x:v>Overhang?</x:v>
      </x:c>
      <x:c r="E7" s="26" t="str">
        <x:v>Destination</x:v>
      </x:c>
      <x:c r="F7" s="26" t="str">
        <x:v>Method</x:v>
      </x:c>
      <x:c r="G7" s="26" t="str">
        <x:v>Credential</x:v>
      </x:c>
      <x:c r="H7" s="26" t="str">
        <x:v>Data scope</x:v>
      </x:c>
    </x:row>
    <x:row r="8">
      <x:c r="A8" s="42" t="str">
        <x:f>DESTINATIONS!A2</x:f>
        <x:v>E1</x:v>
      </x:c>
      <x:c r="B8" s="42" t="n">
        <x:f>DESTINATIONS!G2</x:f>
        <x:v>1</x:v>
      </x:c>
      <x:c r="C8" s="42" t="n">
        <x:f>IF($B$2="A_OFFLINE",POLICIES!D2,IF($B$2="B_PUBLIC_ALLOWLIST",POLICIES!D3,IF($B$2="C_SCOPED_AUTH",POLICIES!D4,IF($B$2="D_BROADER",POLICIES!D5,"UNKNOWN"))))</x:f>
        <x:v>1</x:v>
      </x:c>
      <x:c r="D8" s="42" t="str">
        <x:f>IF(OR(B8="UNKNOWN",C8="UNKNOWN"),"UNKNOWN",IF(AND(C8=1,B8=0),"OVERHANG",""))</x:f>
      </x:c>
      <x:c r="E8" s="42" t="str">
        <x:f>DESTINATIONS!C2</x:f>
        <x:v>docs.vendor.example</x:v>
      </x:c>
      <x:c r="F8" s="42" t="str">
        <x:f>DESTINATIONS!D2</x:f>
        <x:v>GET</x:v>
      </x:c>
      <x:c r="G8" s="42" t="str">
        <x:f>DESTINATIONS!E2</x:f>
        <x:v>NONE</x:v>
      </x:c>
      <x:c r="H8" s="42" t="str">
        <x:f>DESTINATIONS!F2</x:f>
        <x:v>PUBLIC</x:v>
      </x:c>
    </x:row>
    <x:row r="9">
      <x:c r="A9" s="42" t="str">
        <x:f>DESTINATIONS!A3</x:f>
        <x:v>E2</x:v>
      </x:c>
      <x:c r="B9" s="42" t="n">
        <x:f>DESTINATIONS!G3</x:f>
        <x:v>1</x:v>
      </x:c>
      <x:c r="C9" s="42" t="n">
        <x:f>IF($B$2="A_OFFLINE",POLICIES!E2,IF($B$2="B_PUBLIC_ALLOWLIST",POLICIES!E3,IF($B$2="C_SCOPED_AUTH",POLICIES!E4,IF($B$2="D_BROADER",POLICIES!E5,"UNKNOWN"))))</x:f>
        <x:v>1</x:v>
      </x:c>
      <x:c r="D9" s="42" t="str">
        <x:f>IF(OR(B9="UNKNOWN",C9="UNKNOWN"),"UNKNOWN",IF(AND(C9=1,B9=0),"OVERHANG",""))</x:f>
      </x:c>
      <x:c r="E9" s="42" t="str">
        <x:f>DESTINATIONS!C3</x:f>
        <x:v>registry.example</x:v>
      </x:c>
      <x:c r="F9" s="42" t="str">
        <x:f>DESTINATIONS!D3</x:f>
        <x:v>GET</x:v>
      </x:c>
      <x:c r="G9" s="42" t="str">
        <x:f>DESTINATIONS!E3</x:f>
        <x:v>NONE</x:v>
      </x:c>
      <x:c r="H9" s="42" t="str">
        <x:f>DESTINATIONS!F3</x:f>
        <x:v>PUBLIC_REQUEST_METADATA</x:v>
      </x:c>
    </x:row>
    <x:row r="10">
      <x:c r="A10" s="42" t="str">
        <x:f>DESTINATIONS!A4</x:f>
        <x:v>E3</x:v>
      </x:c>
      <x:c r="B10" s="42" t="n">
        <x:f>DESTINATIONS!G4</x:f>
        <x:v>1</x:v>
      </x:c>
      <x:c r="C10" s="42" t="n">
        <x:f>IF($B$2="A_OFFLINE",POLICIES!F2,IF($B$2="B_PUBLIC_ALLOWLIST",POLICIES!F3,IF($B$2="C_SCOPED_AUTH",POLICIES!F4,IF($B$2="D_BROADER",POLICIES!F5,"UNKNOWN"))))</x:f>
        <x:v>1</x:v>
      </x:c>
      <x:c r="D10" s="42" t="str">
        <x:f>IF(OR(B10="UNKNOWN",C10="UNKNOWN"),"UNKNOWN",IF(AND(C10=1,B10=0),"OVERHANG",""))</x:f>
      </x:c>
      <x:c r="E10" s="42" t="str">
        <x:f>DESTINATIONS!C4</x:f>
        <x:v>source.example</x:v>
      </x:c>
      <x:c r="F10" s="42" t="str">
        <x:f>DESTINATIONS!D4</x:f>
        <x:v>GET</x:v>
      </x:c>
      <x:c r="G10" s="42" t="str">
        <x:f>DESTINATIONS!E4</x:f>
        <x:v>NONE</x:v>
      </x:c>
      <x:c r="H10" s="42" t="str">
        <x:f>DESTINATIONS!F4</x:f>
        <x:v>PUBLIC</x:v>
      </x:c>
    </x:row>
    <x:row r="11">
      <x:c r="A11" s="42" t="str">
        <x:f>DESTINATIONS!A5</x:f>
        <x:v>E4</x:v>
      </x:c>
      <x:c r="B11" s="42" t="n">
        <x:f>DESTINATIONS!G5</x:f>
        <x:v>1</x:v>
      </x:c>
      <x:c r="C11" s="42" t="n">
        <x:f>IF($B$2="A_OFFLINE",POLICIES!G2,IF($B$2="B_PUBLIC_ALLOWLIST",POLICIES!G3,IF($B$2="C_SCOPED_AUTH",POLICIES!G4,IF($B$2="D_BROADER",POLICIES!G5,"UNKNOWN"))))</x:f>
        <x:v>1</x:v>
      </x:c>
      <x:c r="D11" s="42" t="str">
        <x:f>IF(OR(B11="UNKNOWN",C11="UNKNOWN"),"UNKNOWN",IF(AND(C11=1,B11=0),"OVERHANG",""))</x:f>
      </x:c>
      <x:c r="E11" s="42" t="str">
        <x:f>DESTINATIONS!C5</x:f>
        <x:v>ci.internal.example</x:v>
      </x:c>
      <x:c r="F11" s="42" t="str">
        <x:f>DESTINATIONS!D5</x:f>
        <x:v>POST</x:v>
      </x:c>
      <x:c r="G11" s="42" t="str">
        <x:f>DESTINATIONS!E5</x:f>
        <x:v>CI_SCOPED_TOKEN</x:v>
      </x:c>
      <x:c r="H11" s="42" t="str">
        <x:f>DESTINATIONS!F5</x:f>
        <x:v>BUILD_ARTIFACTS</x:v>
      </x:c>
    </x:row>
    <x:row r="12">
      <x:c r="A12" s="42" t="str">
        <x:f>DESTINATIONS!A6</x:f>
        <x:v>E5</x:v>
      </x:c>
      <x:c r="B12" s="42" t="n">
        <x:f>DESTINATIONS!G6</x:f>
        <x:v>0</x:v>
      </x:c>
      <x:c r="C12" s="42" t="n">
        <x:f>IF($B$2="A_OFFLINE",POLICIES!H2,IF($B$2="B_PUBLIC_ALLOWLIST",POLICIES!H3,IF($B$2="C_SCOPED_AUTH",POLICIES!H4,IF($B$2="D_BROADER",POLICIES!H5,"UNKNOWN"))))</x:f>
        <x:v>0</x:v>
      </x:c>
      <x:c r="D12" s="42" t="str">
        <x:f>IF(OR(B12="UNKNOWN",C12="UNKNOWN"),"UNKNOWN",IF(AND(C12=1,B12=0),"OVERHANG",""))</x:f>
      </x:c>
      <x:c r="E12" s="42" t="str">
        <x:f>DESTINATIONS!C6</x:f>
        <x:v>ANY_EXTERNAL</x:v>
      </x:c>
      <x:c r="F12" s="42" t="str">
        <x:f>DESTINATIONS!D6</x:f>
        <x:v>GET</x:v>
      </x:c>
      <x:c r="G12" s="42" t="str">
        <x:f>DESTINATIONS!E6</x:f>
        <x:v>NONE</x:v>
      </x:c>
      <x:c r="H12" s="42" t="str">
        <x:f>DESTINATIONS!F6</x:f>
        <x:v>PUBLIC_OR_MODEL_OUTPUT</x:v>
      </x:c>
    </x:row>
    <x:row r="13">
      <x:c r="A13" s="42" t="str">
        <x:f>DESTINATIONS!A7</x:f>
        <x:v>E6</x:v>
      </x:c>
      <x:c r="B13" s="42" t="n">
        <x:f>DESTINATIONS!G7</x:f>
        <x:v>0</x:v>
      </x:c>
      <x:c r="C13" s="42" t="n">
        <x:f>IF($B$2="A_OFFLINE",POLICIES!I2,IF($B$2="B_PUBLIC_ALLOWLIST",POLICIES!I3,IF($B$2="C_SCOPED_AUTH",POLICIES!I4,IF($B$2="D_BROADER",POLICIES!I5,"UNKNOWN"))))</x:f>
        <x:v>0</x:v>
      </x:c>
      <x:c r="D13" s="42" t="str">
        <x:f>IF(OR(B13="UNKNOWN",C13="UNKNOWN"),"UNKNOWN",IF(AND(C13=1,B13=0),"OVERHANG",""))</x:f>
      </x:c>
      <x:c r="E13" s="42" t="str">
        <x:f>DESTINATIONS!C7</x:f>
        <x:v>ANY_EXTERNAL</x:v>
      </x:c>
      <x:c r="F13" s="42" t="str">
        <x:f>DESTINATIONS!D7</x:f>
        <x:v>POST</x:v>
      </x:c>
      <x:c r="G13" s="42" t="str">
        <x:f>DESTINATIONS!E7</x:f>
        <x:v>NONE</x:v>
      </x:c>
      <x:c r="H13" s="42" t="str">
        <x:f>DESTINATIONS!F7</x:f>
        <x:v>WORKSPACE_OR_PROPRIETARY_SOURCE</x:v>
      </x:c>
    </x:row>
    <x:row r="14">
      <x:c r="A14" s="42" t="str">
        <x:f>DESTINATIONS!A8</x:f>
        <x:v>E7</x:v>
      </x:c>
      <x:c r="B14" s="42" t="n">
        <x:f>DESTINATIONS!G8</x:f>
        <x:v>0</x:v>
      </x:c>
      <x:c r="C14" s="42" t="n">
        <x:f>IF($B$2="A_OFFLINE",POLICIES!J2,IF($B$2="B_PUBLIC_ALLOWLIST",POLICIES!J3,IF($B$2="C_SCOPED_AUTH",POLICIES!J4,IF($B$2="D_BROADER",POLICIES!J5,"UNKNOWN"))))</x:f>
        <x:v>0</x:v>
      </x:c>
      <x:c r="D14" s="42" t="str">
        <x:f>IF(OR(B14="UNKNOWN",C14="UNKNOWN"),"UNKNOWN",IF(AND(C14=1,B14=0),"OVERHANG",""))</x:f>
      </x:c>
      <x:c r="E14" s="42" t="str">
        <x:f>DESTINATIONS!C8</x:f>
        <x:v>USER_CONTROLLED</x:v>
      </x:c>
      <x:c r="F14" s="42" t="str">
        <x:f>DESTINATIONS!D8</x:f>
        <x:v>POST</x:v>
      </x:c>
      <x:c r="G14" s="42" t="str">
        <x:f>DESTINATIONS!E8</x:f>
        <x:v>NONE</x:v>
      </x:c>
      <x:c r="H14" s="42" t="str">
        <x:f>DESTINATIONS!F8</x:f>
        <x:v>WORKSPACE_OR_BUILD_ARTIFACTS</x:v>
      </x:c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36" hidden="0" customWidth="1"/>
    <x:col min="5" max="5" width="26" hidden="0" customWidth="1"/>
    <x:col min="6" max="6" width="26" hidden="0" customWidth="1"/>
  </x:cols>
  <x:sheetData>
    <x:row r="1">
      <x:c r="A1" s="26" t="str">
        <x:v>Policy</x:v>
      </x:c>
      <x:c r="B1" s="26" t="str">
        <x:v>Primary utility</x:v>
      </x:c>
      <x:c r="C1" s="26" t="str">
        <x:v>Primary authority units</x:v>
      </x:c>
      <x:c r="D1" s="26" t="str">
        <x:v>Counter variable-research utility</x:v>
      </x:c>
      <x:c r="E1" s="26" t="str">
        <x:v>Counter critical coverage</x:v>
      </x:c>
      <x:c r="F1" s="26" t="str">
        <x:v>Primary status</x:v>
      </x:c>
    </x:row>
    <x:row r="2">
      <x:c r="A2" s="25" t="str">
        <x:v>A_OFFLINE</x:v>
      </x:c>
      <x:c r="B2" s="49" t="n">
        <x:f>POLICIES!O2</x:f>
        <x:v>0.2</x:v>
      </x:c>
      <x:c r="C2" s="25" t="n">
        <x:f>POLICIES!M2</x:f>
        <x:v>0</x:v>
      </x:c>
      <x:c r="D2" s="49" t="n">
        <x:v>0.16666666666666666</x:v>
      </x:c>
      <x:c r="E2" s="49" t="n">
        <x:v>0</x:v>
      </x:c>
      <x:c r="F2" s="25" t="str">
        <x:f>POLICIES!T2</x:f>
        <x:v>NO</x:v>
      </x:c>
    </x:row>
    <x:row r="3">
      <x:c r="A3" s="25" t="str">
        <x:v>B_PUBLIC_ALLOWLIST</x:v>
      </x:c>
      <x:c r="B3" s="49" t="n">
        <x:f>POLICIES!O3</x:f>
        <x:v>0.7</x:v>
      </x:c>
      <x:c r="C3" s="25" t="n">
        <x:f>POLICIES!M3</x:f>
        <x:v>3</x:v>
      </x:c>
      <x:c r="D3" s="49" t="n">
        <x:v>0.6666666666666666</x:v>
      </x:c>
      <x:c r="E3" s="49" t="n">
        <x:v>0.6</x:v>
      </x:c>
      <x:c r="F3" s="25" t="str">
        <x:f>POLICIES!T3</x:f>
        <x:v>NO</x:v>
      </x:c>
    </x:row>
    <x:row r="4">
      <x:c r="A4" s="25" t="str">
        <x:v>C_SCOPED_AUTH</x:v>
      </x:c>
      <x:c r="B4" s="49" t="n">
        <x:f>POLICIES!O4</x:f>
        <x:v>1</x:v>
      </x:c>
      <x:c r="C4" s="25" t="n">
        <x:f>POLICIES!M4</x:f>
        <x:v>6</x:v>
      </x:c>
      <x:c r="D4" s="49" t="n">
        <x:v>0.6666666666666666</x:v>
      </x:c>
      <x:c r="E4" s="49" t="n">
        <x:v>0.6</x:v>
      </x:c>
      <x:c r="F4" s="25" t="str">
        <x:f>POLICIES!T4</x:f>
        <x:v>YES</x:v>
      </x:c>
    </x:row>
    <x:row r="5">
      <x:c r="A5" s="25" t="str">
        <x:v>D_BROADER</x:v>
      </x:c>
      <x:c r="B5" s="49" t="n">
        <x:f>POLICIES!O5</x:f>
        <x:v>1</x:v>
      </x:c>
      <x:c r="C5" s="25" t="n">
        <x:f>POLICIES!M5</x:f>
        <x:v>28</x:v>
      </x:c>
      <x:c r="D5" s="49" t="n">
        <x:v>1</x:v>
      </x:c>
      <x:c r="E5" s="49" t="n">
        <x:v>1</x:v>
      </x:c>
      <x:c r="F5" s="25" t="str">
        <x:f>POLICIES!T5</x:f>
        <x:v>NO</x:v>
      </x:c>
    </x:row>
    <x:row r="6">
      <x:c r="A6" s="25"/>
      <x:c r="B6" s="25"/>
      <x:c r="C6" s="25"/>
      <x:c r="D6" s="25"/>
      <x:c r="E6" s="25"/>
      <x:c r="F6" s="25"/>
    </x:row>
    <x:row r="7">
      <x:c r="A7" s="25"/>
      <x:c r="B7" s="25"/>
      <x:c r="C7" s="25"/>
      <x:c r="D7" s="25"/>
      <x:c r="E7" s="25"/>
      <x:c r="F7" s="25"/>
    </x:row>
    <x:row r="8">
      <x:c r="A8" s="26" t="str">
        <x:v>Decision case</x:v>
      </x:c>
      <x:c r="B8" s="26" t="str">
        <x:v>Minimum sufficient policy</x:v>
      </x:c>
      <x:c r="C8" s="26" t="str">
        <x:v>Verdict</x:v>
      </x:c>
      <x:c r="D8" s="26" t="str">
        <x:v>Interpretation</x:v>
      </x:c>
      <x:c r="E8" s="25"/>
      <x:c r="F8" s="25"/>
    </x:row>
    <x:row r="9">
      <x:c r="A9" s="25" t="str">
        <x:v>Primary repo bug-fix suite</x:v>
      </x:c>
      <x:c r="B9" s="42" t="str">
        <x:f>WORKFLOW!B11</x:f>
        <x:v>C_SCOPED_AUTH</x:v>
      </x:c>
      <x:c r="C9" s="42" t="str">
        <x:f>WORKFLOW!B12</x:f>
        <x:v>RESTRICTED EGRESS SUFFICIENT</x:v>
      </x:c>
      <x:c r="D9" s="25" t="str">
        <x:v>Default workbook case.</x:v>
      </x:c>
      <x:c r="E9" s="25"/>
      <x:c r="F9" s="25"/>
    </x:row>
    <x:row r="10">
      <x:c r="A10" s="25" t="str">
        <x:v>Variable-source research counter-case</x:v>
      </x:c>
      <x:c r="B10" s="25" t="str">
        <x:v>D_BROADER</x:v>
      </x:c>
      <x:c r="C10" s="25" t="str">
        <x:v>BROADER NETWORK REQUIRED BY SCENARIO TASK SUITE</x:v>
      </x:c>
      <x:c r="D10" s="25" t="str">
        <x:v>Narrow fixed allowlists miss newly discovered public sources in declared scenario trace.</x:v>
      </x:c>
      <x:c r="E10" s="25"/>
      <x:c r="F10" s="25"/>
    </x:row>
    <x:row r="11">
      <x:c r="A11" s="25"/>
      <x:c r="B11" s="25"/>
      <x:c r="C11" s="25"/>
      <x:c r="D11" s="25"/>
      <x:c r="E11" s="25"/>
      <x:c r="F11" s="25"/>
    </x:row>
    <x:row r="12">
      <x:c r="A12" s="25"/>
      <x:c r="B12" s="25"/>
      <x:c r="C12" s="25"/>
      <x:c r="D12" s="25"/>
      <x:c r="E12" s="25"/>
      <x:c r="F12" s="2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48" hidden="0" customWidth="1"/>
    <x:col min="4" max="4" width="85" hidden="0" customWidth="1"/>
    <x:col min="5" max="5" width="24" hidden="0" customWidth="1"/>
    <x:col min="6" max="6" width="24" hidden="0" customWidth="1"/>
    <x:col min="7" max="7" width="70" hidden="0" customWidth="1"/>
    <x:col min="8" max="8" width="70" hidden="0" customWidth="1"/>
  </x:cols>
  <x:sheetData>
    <x:row r="1">
      <x:c r="A1" s="26" t="str">
        <x:v>ID</x:v>
      </x:c>
      <x:c r="B1" s="26" t="str">
        <x:v>Organization</x:v>
      </x:c>
      <x:c r="C1" s="26" t="str">
        <x:v>Document</x:v>
      </x:c>
      <x:c r="D1" s="26" t="str">
        <x:v>URL</x:v>
      </x:c>
      <x:c r="E1" s="26" t="str">
        <x:v>Type</x:v>
      </x:c>
      <x:c r="F1" s="26" t="str">
        <x:v>Accessed</x:v>
      </x:c>
      <x:c r="G1" s="26" t="str">
        <x:v>Supports</x:v>
      </x:c>
      <x:c r="H1" s="26" t="str">
        <x:v>Limitations</x:v>
      </x:c>
    </x:row>
    <x:row r="2">
      <x:c r="A2" s="25" t="str">
        <x:v>S01</x:v>
      </x:c>
      <x:c r="B2" s="25" t="str">
        <x:v>OpenAI</x:v>
      </x:c>
      <x:c r="C2" s="25" t="str">
        <x:v>From model to agent: Equipping the Responses API with a computer environment</x:v>
      </x:c>
      <x:c r="D2" s="25" t="str">
        <x:v>https://openai.com/index/equip-responses-api-computer-environment/</x:v>
      </x:c>
      <x:c r="E2" s="25" t="str">
        <x:v>primary vendor engineering</x:v>
      </x:c>
      <x:c r="F2" s="25" t="str">
        <x:v>2026-08-10</x:v>
      </x:c>
      <x:c r="G2" s="25" t="str">
        <x:v>Hosted container restricted network; sidecar egress proxy; allowlists/access controls; domain-scoped secret injection outside model-visible context</x:v>
      </x:c>
      <x:c r="H2" s="25" t="str">
        <x:v>OpenAI hosted-container architecture; not universal vendor behavior.</x:v>
      </x:c>
    </x:row>
    <x:row r="3">
      <x:c r="A3" s="25" t="str">
        <x:v>S02</x:v>
      </x:c>
      <x:c r="B3" s="25" t="str">
        <x:v>OpenAI</x:v>
      </x:c>
      <x:c r="C3" s="25" t="str">
        <x:v>Running Codex safely at OpenAI</x:v>
      </x:c>
      <x:c r="D3" s="25" t="str">
        <x:v>https://openai.com/index/running-codex-safely/</x:v>
      </x:c>
      <x:c r="E3" s="25" t="str">
        <x:v>primary vendor security</x:v>
      </x:c>
      <x:c r="F3" s="25" t="str">
        <x:v>2026-08-10</x:v>
      </x:c>
      <x:c r="G3" s="25" t="str">
        <x:v>Sandbox/network/approval separation; managed expected-domain policy; unfamiliar-domain approval; identity/keyring; OTel network allow/deny events</x:v>
      </x:c>
      <x:c r="H3" s="25" t="str">
        <x:v>OpenAI internal deployment example, not every customer config.</x:v>
      </x:c>
    </x:row>
    <x:row r="4">
      <x:c r="A4" s="25" t="str">
        <x:v>S03</x:v>
      </x:c>
      <x:c r="B4" s="25" t="str">
        <x:v>OpenAI</x:v>
      </x:c>
      <x:c r="C4" s="25" t="str">
        <x:v>GPT-5.3-Codex System Card — Network access</x:v>
      </x:c>
      <x:c r="D4" s="25" t="str">
        <x:v>https://deploymentsafety.openai.com/gpt-5-3-codex/cybersecurity</x:v>
      </x:c>
      <x:c r="E4" s="25" t="str">
        <x:v>primary vendor system card</x:v>
      </x:c>
      <x:c r="F4" s="25" t="str">
        <x:v>2026-08-10</x:v>
      </x:c>
      <x:c r="G4" s="25" t="str">
        <x:v>Network disabled baseline; per-project site access; allowlist/denylist/broader internet; prompt-injection/credential risks</x:v>
      </x:c>
      <x:c r="H4" s="25" t="str">
        <x:v>Codex-specific.</x:v>
      </x:c>
    </x:row>
    <x:row r="5">
      <x:c r="A5" s="25" t="str">
        <x:v>S04</x:v>
      </x:c>
      <x:c r="B5" s="25" t="str">
        <x:v>OpenAI</x:v>
      </x:c>
      <x:c r="C5" s="25" t="str">
        <x:v>Designing AI agents to resist prompt injection</x:v>
      </x:c>
      <x:c r="D5" s="25" t="str">
        <x:v>https://openai.com/index/designing-agents-to-resist-prompt-injection/</x:v>
      </x:c>
      <x:c r="E5" s="25" t="str">
        <x:v>primary vendor security</x:v>
      </x:c>
      <x:c r="F5" s="25" t="str">
        <x:v>2026-08-10</x:v>
      </x:c>
      <x:c r="G5" s="25" t="str">
        <x:v>External content can manipulate agents; layered controls needed</x:v>
      </x:c>
      <x:c r="H5" s="25" t="str">
        <x:v>Prompt injection remains evolving problem.</x:v>
      </x:c>
    </x:row>
    <x:row r="6">
      <x:c r="A6" s="25" t="str">
        <x:v>S05</x:v>
      </x:c>
      <x:c r="B6" s="25" t="str">
        <x:v>Anthropic</x:v>
      </x:c>
      <x:c r="C6" s="25" t="str">
        <x:v>Beyond permission prompts: Claude Code sandboxing</x:v>
      </x:c>
      <x:c r="D6" s="25" t="str">
        <x:v>https://www.anthropic.com/engineering/claude-code-sandboxing</x:v>
      </x:c>
      <x:c r="E6" s="25" t="str">
        <x:v>primary vendor engineering</x:v>
      </x:c>
      <x:c r="F6" s="25" t="str">
        <x:v>2026-08-10</x:v>
      </x:c>
      <x:c r="G6" s="25" t="str">
        <x:v>Filesystem + network isolation; proxy enforces domain restrictions; scoped Git credential mediation</x:v>
      </x:c>
      <x:c r="H6" s="25" t="str">
        <x:v>Anthropic architecture; not universal.</x:v>
      </x:c>
    </x:row>
    <x:row r="7">
      <x:c r="A7" s="25" t="str">
        <x:v>S06</x:v>
      </x:c>
      <x:c r="B7" s="25" t="str">
        <x:v>Anthropic</x:v>
      </x:c>
      <x:c r="C7" s="25" t="str">
        <x:v>How we contain Claude across products</x:v>
      </x:c>
      <x:c r="D7" s="25" t="str">
        <x:v>https://www.anthropic.com/engineering/how-we-contain-claude</x:v>
      </x:c>
      <x:c r="E7" s="25" t="str">
        <x:v>primary vendor engineering</x:v>
      </x:c>
      <x:c r="F7" s="25" t="str">
        <x:v>2026-08-10</x:v>
      </x:c>
      <x:c r="G7" s="25" t="str">
        <x:v>Containment/blast-radius framing; credentials outside sandbox; filesystem/network boundaries</x:v>
      </x:c>
      <x:c r="H7" s="25" t="str">
        <x:v>Vendor-specific implementation lessons.</x:v>
      </x:c>
    </x:row>
    <x:row r="8">
      <x:c r="A8" s="25" t="str">
        <x:v>S07</x:v>
      </x:c>
      <x:c r="B8" s="25" t="str">
        <x:v>MCP</x:v>
      </x:c>
      <x:c r="C8" s="25" t="str">
        <x:v>Security Best Practices</x:v>
      </x:c>
      <x:c r="D8" s="25" t="str">
        <x:v>https://modelcontextprotocol.io/docs/2026-07-28/tutorials/security/security_best_practices</x:v>
      </x:c>
      <x:c r="E8" s="25" t="str">
        <x:v>protocol security guidance</x:v>
      </x:c>
      <x:c r="F8" s="25" t="str">
        <x:v>2026-08-10</x:v>
      </x:c>
      <x:c r="G8" s="25" t="str">
        <x:v>Least privilege, egress proxies, redirect validation, SSRF, token passthrough prohibition</x:v>
      </x:c>
      <x:c r="H8" s="25" t="str">
        <x:v>Applies to MCP implementations; not generic HTTP policy spec.</x:v>
      </x:c>
    </x:row>
    <x:row r="9">
      <x:c r="A9" s="25" t="str">
        <x:v>S08</x:v>
      </x:c>
      <x:c r="B9" s="25" t="str">
        <x:v>MCP</x:v>
      </x:c>
      <x:c r="C9" s="25" t="str">
        <x:v>Authorization — 2025-11-25</x:v>
      </x:c>
      <x:c r="D9" s="25" t="str">
        <x:v>https://modelcontextprotocol.io/specification/2025-11-25/basic/authorization</x:v>
      </x:c>
      <x:c r="E9" s="25" t="str">
        <x:v>protocol specification</x:v>
      </x:c>
      <x:c r="F9" s="25" t="str">
        <x:v>2026-08-10</x:v>
      </x:c>
      <x:c r="G9" s="25" t="str">
        <x:v>Resource/audience binding, access tokens not in URI, token validation, OAuth 2.1</x:v>
      </x:c>
      <x:c r="H9" s="25" t="str">
        <x:v>HTTP transport auth scope.</x:v>
      </x:c>
    </x:row>
    <x:row r="10">
      <x:c r="A10" s="25" t="str">
        <x:v>S09</x:v>
      </x:c>
      <x:c r="B10" s="25" t="str">
        <x:v>OWASP GenAI</x:v>
      </x:c>
      <x:c r="C10" s="25" t="str">
        <x:v>LLM01:2025 Prompt Injection</x:v>
      </x:c>
      <x:c r="D10" s="25" t="str">
        <x:v>https://genai.owasp.org/llmrisk/llm01-prompt-injection/</x:v>
      </x:c>
      <x:c r="E10" s="25" t="str">
        <x:v>security guidance</x:v>
      </x:c>
      <x:c r="F10" s="25" t="str">
        <x:v>2026-08-10</x:v>
      </x:c>
      <x:c r="G10" s="25" t="str">
        <x:v>Indirect prompt injection and impact depends on agent agency</x:v>
      </x:c>
      <x:c r="H10" s="25" t="str">
        <x:v>Guidance, not probability model.</x:v>
      </x:c>
    </x:row>
    <x:row r="11">
      <x:c r="A11" s="25" t="str">
        <x:v>S10</x:v>
      </x:c>
      <x:c r="B11" s="25" t="str">
        <x:v>OWASP GenAI</x:v>
      </x:c>
      <x:c r="C11" s="25" t="str">
        <x:v>LLM06:2025 Excessive Agency</x:v>
      </x:c>
      <x:c r="D11" s="25" t="str">
        <x:v>https://genai.owasp.org/llmrisk/llm062025-excessive-agency/</x:v>
      </x:c>
      <x:c r="E11" s="25" t="str">
        <x:v>security guidance</x:v>
      </x:c>
      <x:c r="F11" s="25" t="str">
        <x:v>2026-08-10</x:v>
      </x:c>
      <x:c r="G11" s="25" t="str">
        <x:v>Excessive functionality/permissions/autonomy increase consequences</x:v>
      </x:c>
      <x:c r="H11" s="25" t="str">
        <x:v>Not a scalar risk model.</x:v>
      </x:c>
    </x:row>
    <x:row r="12">
      <x:c r="A12" s="25" t="str">
        <x:v>S11</x:v>
      </x:c>
      <x:c r="B12" s="25" t="str">
        <x:v>OWASP GenAI</x:v>
      </x:c>
      <x:c r="C12" s="25" t="str">
        <x:v>LLM02:2025 Sensitive Information Disclosure</x:v>
      </x:c>
      <x:c r="D12" s="25" t="str">
        <x:v>https://genai.owasp.org/llmrisk/llm022025-sensitive-information-disclosure/</x:v>
      </x:c>
      <x:c r="E12" s="25" t="str">
        <x:v>security guidance</x:v>
      </x:c>
      <x:c r="F12" s="25" t="str">
        <x:v>2026-08-10</x:v>
      </x:c>
      <x:c r="G12" s="25" t="str">
        <x:v>Sensitive business data/credentials require protection beyond prompt rules</x:v>
      </x:c>
      <x:c r="H12" s="25" t="str">
        <x:v>General guidance.</x:v>
      </x:c>
    </x:row>
    <x:row r="13">
      <x:c r="A13" s="25" t="str">
        <x:v>S12</x:v>
      </x:c>
      <x:c r="B13" s="25" t="str">
        <x:v>NIST</x:v>
      </x:c>
      <x:c r="C13" s="25" t="str">
        <x:v>SP 800-207 Zero Trust Architecture</x:v>
      </x:c>
      <x:c r="D13" s="25" t="str">
        <x:v>https://csrc.nist.gov/pubs/sp/800/207/final</x:v>
      </x:c>
      <x:c r="E13" s="25" t="str">
        <x:v>standard guidance</x:v>
      </x:c>
      <x:c r="F13" s="25" t="str">
        <x:v>2026-08-10</x:v>
      </x:c>
      <x:c r="G13" s="25" t="str">
        <x:v>No implicit trust by network location; protect resources and authorize access explicitly</x:v>
      </x:c>
      <x:c r="H13" s="25" t="str">
        <x:v>General zero-trust architecture, not AI-specific.</x:v>
      </x:c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</x:sheetData>
  <x:pageMargins left="0.7" right="0.7" top="0.75" bottom="0.75" header="0.3" footer="0.3"/>
</x:worksheet>
</file>