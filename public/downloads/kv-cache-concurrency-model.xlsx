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50839fe92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5c8f9ae9cd94cd7"/>
    <x:sheet xmlns:r="http://schemas.openxmlformats.org/officeDocument/2006/relationships" name="ARCHITECTURE" sheetId="2" r:id="Rdb96d80900d84353"/>
    <x:sheet xmlns:r="http://schemas.openxmlformats.org/officeDocument/2006/relationships" name="MEMORY" sheetId="3" r:id="Ra69b59293e2f4b96"/>
    <x:sheet xmlns:r="http://schemas.openxmlformats.org/officeDocument/2006/relationships" name="KV_FORMULA" sheetId="4" r:id="Rb01d1bb117fe4c24"/>
    <x:sheet xmlns:r="http://schemas.openxmlformats.org/officeDocument/2006/relationships" name="WORKLOAD" sheetId="5" r:id="R5cc5742a222b47fd"/>
    <x:sheet xmlns:r="http://schemas.openxmlformats.org/officeDocument/2006/relationships" name="BLOCKS" sheetId="6" r:id="R71b64f9e6d884d9a"/>
    <x:sheet xmlns:r="http://schemas.openxmlformats.org/officeDocument/2006/relationships" name="CONCURRENCY" sheetId="7" r:id="R5ae46955bf144a08"/>
    <x:sheet xmlns:r="http://schemas.openxmlformats.org/officeDocument/2006/relationships" name="PREFIX_REUSE" sheetId="8" r:id="R7f9b400a08124643"/>
    <x:sheet xmlns:r="http://schemas.openxmlformats.org/officeDocument/2006/relationships" name="OFFLOAD" sheetId="9" r:id="R4d8e10801ac94270"/>
    <x:sheet xmlns:r="http://schemas.openxmlformats.org/officeDocument/2006/relationships" name="SENSITIVITY" sheetId="10" r:id="R0104359061b54a0c"/>
    <x:sheet xmlns:r="http://schemas.openxmlformats.org/officeDocument/2006/relationships" name="SOURCES" sheetId="11" r:id="Re20e99c6657e45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%"/>
    <x:numFmt numFmtId="201" formatCode="0.0%"/>
  </x:numFmts>
  <x:fonts count="3">
    <x:font>
      <x:sz val="11"/>
      <x:name val="Carlito"/>
    </x:font>
    <x:font>
      <x:b/>
      <x:sz val="11"/>
      <x:color rgb="FFF2EFE7"/>
      <x:name val="Carlito"/>
    </x:font>
    <x:font>
      <x:b/>
      <x:sz val="11"/>
      <x:color rgb="FF11110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C9C3B7"/>
      </x:patternFill>
    </x:fill>
    <x:fill>
      <x:patternFill patternType="solid">
        <x:fgColor rgb="FFE8E4DA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5cd9f5757483d" /><Relationship Type="http://schemas.openxmlformats.org/officeDocument/2006/relationships/theme" Target="/xl/theme/theme1.xml" Id="Ra693d56b1961415b" /><Relationship Type="http://schemas.microsoft.com/office/2022/11/relationships/FeaturePropertyBag" Target="/xl/featurePropertyBag/featurePropertyBag.xml" Id="Re16f7a66db124b26" /><Relationship Type="http://schemas.openxmlformats.org/officeDocument/2006/relationships/sharedStrings" Target="/xl/sharedStrings.xml" Id="Rf3d59290a4f84943" /><Relationship Type="http://schemas.openxmlformats.org/officeDocument/2006/relationships/worksheet" Target="/xl/worksheets/sheet1.xml" Id="Rf5c8f9ae9cd94cd7" /><Relationship Type="http://schemas.openxmlformats.org/officeDocument/2006/relationships/worksheet" Target="/xl/worksheets/sheet2.xml" Id="Rdb96d80900d84353" /><Relationship Type="http://schemas.openxmlformats.org/officeDocument/2006/relationships/worksheet" Target="/xl/worksheets/sheet3.xml" Id="Ra69b59293e2f4b96" /><Relationship Type="http://schemas.openxmlformats.org/officeDocument/2006/relationships/worksheet" Target="/xl/worksheets/sheet4.xml" Id="Rb01d1bb117fe4c24" /><Relationship Type="http://schemas.openxmlformats.org/officeDocument/2006/relationships/worksheet" Target="/xl/worksheets/sheet5.xml" Id="R5cc5742a222b47fd" /><Relationship Type="http://schemas.openxmlformats.org/officeDocument/2006/relationships/worksheet" Target="/xl/worksheets/sheet6.xml" Id="R71b64f9e6d884d9a" /><Relationship Type="http://schemas.openxmlformats.org/officeDocument/2006/relationships/worksheet" Target="/xl/worksheets/sheet7.xml" Id="R5ae46955bf144a08" /><Relationship Type="http://schemas.openxmlformats.org/officeDocument/2006/relationships/worksheet" Target="/xl/worksheets/sheet8.xml" Id="R7f9b400a08124643" /><Relationship Type="http://schemas.openxmlformats.org/officeDocument/2006/relationships/worksheet" Target="/xl/worksheets/sheet9.xml" Id="R4d8e10801ac94270" /><Relationship Type="http://schemas.openxmlformats.org/officeDocument/2006/relationships/worksheet" Target="/xl/worksheets/sheet10.xml" Id="R0104359061b54a0c" /><Relationship Type="http://schemas.openxmlformats.org/officeDocument/2006/relationships/worksheet" Target="/xl/worksheets/sheet11.xml" Id="Re20e99c6657e45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d41286581546a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Ideal KV Concurrency Frontier — 80 GiB Scenario</a:t>
            </a:r>
          </a:p>
        </c:rich>
      </c:tx>
    </c:title>
    <c:plotArea>
      <c:lineChart>
        <c:grouping val="standard"/>
        <c:ser>
          <c:idx val="0"/>
          <c:order val="0"/>
          <c:tx>
            <c:v>GQA BF16</c:v>
          </c:tx>
          <c:marker>
            <c:symbol val="none"/>
          </c:marker>
          <c:cat>
            <c:strRef>
              <c:f>'SENSITIVITY'!$A$2:$A$7</c:f>
              <c:strCache>
                <c:ptCount val="0"/>
              </c:strCache>
            </c:strRef>
          </c:cat>
          <c:val>
            <c:numRef>
              <c:f>'SENSITIVITY'!$B$2:$B$7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GQA FP8 scenario</c:v>
          </c:tx>
          <c:marker>
            <c:symbol val="none"/>
          </c:marker>
          <c:cat>
            <c:strRef>
              <c:f>'SENSITIVITY'!$A$2:$A$7</c:f>
              <c:strCache>
                <c:ptCount val="0"/>
              </c:strCache>
            </c:strRef>
          </c:cat>
          <c:val>
            <c:numRef>
              <c:f>'SENSITIVITY'!$C$2:$C$7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MHA BF16 hypothetical</c:v>
          </c:tx>
          <c:marker>
            <c:symbol val="none"/>
          </c:marker>
          <c:cat>
            <c:strRef>
              <c:f>'SENSITIVITY'!$A$2:$A$7</c:f>
              <c:strCache>
                <c:ptCount val="0"/>
              </c:strCache>
            </c:strRef>
          </c:cat>
          <c:val>
            <c:numRef>
              <c:f>'SENSITIVITY'!$D$2:$D$7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d41286581546a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1f13f6f490db444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42" hidden="0" customWidth="1"/>
  </x:cols>
  <x:sheetData>
    <x:row r="1" ht="15" hidden="0" customHeight="1">
      <x:c r="A1" s="26" t="str">
        <x:v>SECOND / PASS — KV CACHE CONCURRENCY MODEL</x:v>
      </x:c>
      <x:c r="B1" s="26"/>
      <x:c r="C1" s="26"/>
      <x:c r="D1" s="26"/>
      <x:c r="E1" s="13"/>
      <x:c r="F1" s="13"/>
    </x:row>
    <x:row r="2" ht="15" hidden="0" customHeight="1">
      <x:c r="A2" s="13"/>
      <x:c r="B2" s="13"/>
      <x:c r="C2" s="13"/>
      <x:c r="D2" s="13"/>
      <x:c r="E2" s="13"/>
      <x:c r="F2" s="13"/>
    </x:row>
    <x:row r="3" ht="15" hidden="0" customHeight="1">
      <x:c r="A3" s="12" t="str">
        <x:v>Purpose</x:v>
      </x:c>
      <x:c r="B3" s="13" t="str">
        <x:v>Translate architecture + KV budget + workload lengths into analytical cache capacity.</x:v>
      </x:c>
      <x:c r="C3" s="13"/>
      <x:c r="D3" s="13"/>
      <x:c r="E3" s="13"/>
      <x:c r="F3" s="13"/>
    </x:row>
    <x:row r="4" ht="15" hidden="0" customHeight="1">
      <x:c r="A4" s="12" t="str">
        <x:v>Status</x:v>
      </x:c>
      <x:c r="B4" s="13" t="str">
        <x:v>REVIEW — analytical model, not a benchmark.</x:v>
      </x:c>
      <x:c r="C4" s="13"/>
      <x:c r="D4" s="13"/>
      <x:c r="E4" s="13"/>
      <x:c r="F4" s="13"/>
    </x:row>
    <x:row r="5" ht="15" hidden="0" customHeight="1">
      <x:c r="A5" s="12" t="str">
        <x:v>Teaching model</x:v>
      </x:c>
      <x:c r="B5" s="13" t="str">
        <x:v>Qwen2.5-72B-Instruct</x:v>
      </x:c>
      <x:c r="C5" s="13"/>
      <x:c r="D5" s="13"/>
      <x:c r="E5" s="13"/>
      <x:c r="F5" s="13"/>
    </x:row>
    <x:row r="6" ht="15" hidden="0" customHeight="1">
      <x:c r="A6" s="12" t="str">
        <x:v>Key rule</x:v>
      </x:c>
      <x:c r="B6" s="13" t="str">
        <x:v>Runtime-reported group-aware token capacity overrides simple block estimates where available.</x:v>
      </x:c>
      <x:c r="C6" s="13"/>
      <x:c r="D6" s="13"/>
      <x:c r="E6" s="13"/>
      <x:c r="F6" s="13"/>
    </x:row>
    <x:row r="7" ht="15" hidden="0" customHeight="1">
      <x:c r="A7" s="12" t="str">
        <x:v>Scenario KV budget</x:v>
      </x:c>
      <x:c r="B7" s="13" t="str">
        <x:v>80 GiB aggregate cache budget after non-KV allocations.</x:v>
      </x:c>
      <x:c r="C7" s="13"/>
      <x:c r="D7" s="13"/>
      <x:c r="E7" s="13"/>
      <x:c r="F7" s="13"/>
    </x:row>
    <x:row r="8" ht="15" hidden="0" customHeight="1">
      <x:c r="A8" s="12" t="str">
        <x:v>Default block scenario</x:v>
      </x:c>
      <x:c r="B8" s="13" t="str">
        <x:v>16 tokens/block.</x:v>
      </x:c>
      <x:c r="C8" s="13"/>
      <x:c r="D8" s="13"/>
      <x:c r="E8" s="13"/>
      <x:c r="F8" s="13"/>
    </x:row>
    <x:row r="9" ht="15" hidden="0" customHeight="1">
      <x:c r="A9" s="12" t="str">
        <x:v>Output reserve scenario</x:v>
      </x:c>
      <x:c r="B9" s="13" t="str">
        <x:v>2,048 tokens/request.</x:v>
      </x:c>
      <x:c r="C9" s="13"/>
      <x:c r="D9" s="13"/>
      <x:c r="E9" s="13"/>
      <x:c r="F9" s="13"/>
    </x:row>
    <x:row r="10" ht="15" hidden="0" customHeight="1">
      <x:c r="A10" s="12" t="str">
        <x:v>Units</x:v>
      </x:c>
      <x:c r="B10" s="13" t="str">
        <x:v>GiB = 2^30 bytes; GB = 10^9 bytes.</x:v>
      </x:c>
      <x:c r="C10" s="13"/>
      <x:c r="D10" s="13"/>
      <x:c r="E10" s="13"/>
      <x:c r="F10" s="13"/>
    </x:row>
    <x:row r="11" ht="15" hidden="0" customHeight="1">
      <x:c r="A11" s="12" t="str">
        <x:v>TP warning</x:v>
      </x:c>
      <x:c r="B11" s="13" t="str">
        <x:v>Do not blindly divide full-model logical KV by TP; use runtime per-rank/per-engine capacity.</x:v>
      </x:c>
      <x:c r="C11" s="13"/>
      <x:c r="D11" s="13"/>
      <x:c r="E11" s="13"/>
      <x:c r="F11" s="13"/>
    </x:row>
    <x:row r="12" ht="15" hidden="0" customHeight="1">
      <x:c r="A12" s="12" t="str">
        <x:v>Formula applicability</x:v>
      </x:c>
      <x:c r="B12" s="13" t="str">
        <x:v>Conventional full-attention KV. Adjust/avoid for sliding-window, hybrid, MLA, Mamba/state-space, attention-free or compressed-cache architectures.</x:v>
      </x:c>
      <x:c r="C12" s="13"/>
      <x:c r="D12" s="13"/>
      <x:c r="E12" s="13"/>
      <x:c r="F12" s="13"/>
    </x:row>
    <x:row r="13" ht="15" hidden="0" customHeight="1">
      <x:c r="A13" s="13"/>
      <x:c r="B13" s="13"/>
      <x:c r="C13" s="13"/>
      <x:c r="D13" s="13"/>
      <x:c r="E13" s="13"/>
      <x:c r="F13" s="13"/>
    </x:row>
    <x:row r="14" ht="15" hidden="0" customHeight="1">
      <x:c r="A14" s="13"/>
      <x:c r="B14" s="13"/>
      <x:c r="C14" s="13"/>
      <x:c r="D14" s="13"/>
      <x:c r="E14" s="13"/>
      <x:c r="F14" s="13"/>
    </x:row>
    <x:row r="15" ht="15" hidden="0" customHeight="1">
      <x:c r="A15" s="13"/>
      <x:c r="B15" s="13"/>
      <x:c r="C15" s="13"/>
      <x:c r="D15" s="13"/>
      <x:c r="E15" s="13"/>
      <x:c r="F15" s="13"/>
    </x:row>
    <x:row r="16" ht="15" hidden="0" customHeight="1">
      <x:c r="A16" s="13"/>
      <x:c r="B16" s="13"/>
      <x:c r="C16" s="13"/>
      <x:c r="D16" s="13"/>
      <x:c r="E16" s="13"/>
      <x:c r="F16" s="13"/>
    </x:row>
    <x:row r="17" ht="15" hidden="0" customHeight="1">
      <x:c r="A17" s="13"/>
      <x:c r="B17" s="13"/>
      <x:c r="C17" s="13"/>
      <x:c r="D17" s="13"/>
      <x:c r="E17" s="13"/>
      <x:c r="F17" s="13"/>
    </x:row>
    <x:row r="18" ht="15" hidden="0" customHeight="1">
      <x:c r="A18" s="13"/>
      <x:c r="B18" s="13"/>
      <x:c r="C18" s="13"/>
      <x:c r="D18" s="13"/>
      <x:c r="E18" s="13"/>
      <x:c r="F18" s="13"/>
    </x:row>
    <x:row r="19" ht="15" hidden="0" customHeight="1">
      <x:c r="A19" s="13"/>
      <x:c r="B19" s="13"/>
      <x:c r="C19" s="13"/>
      <x:c r="D19" s="13"/>
      <x:c r="E19" s="13"/>
      <x:c r="F19" s="13"/>
    </x:row>
    <x:row r="20" ht="15" hidden="0" customHeight="1">
      <x:c r="A20" s="13"/>
      <x:c r="B20" s="13"/>
      <x:c r="C20" s="13"/>
      <x:c r="D20" s="13"/>
      <x:c r="E20" s="13"/>
      <x:c r="F20" s="13"/>
    </x:row>
    <x:row r="21" ht="15" hidden="0" customHeight="1">
      <x:c r="A21" s="13"/>
      <x:c r="B21" s="13"/>
      <x:c r="C21" s="13"/>
      <x:c r="D21" s="13"/>
      <x:c r="E21" s="13"/>
      <x:c r="F21" s="13"/>
    </x:row>
    <x:row r="22" ht="15" hidden="0" customHeight="1">
      <x:c r="A22" s="13"/>
      <x:c r="B22" s="13"/>
      <x:c r="C22" s="13"/>
      <x:c r="D22" s="13"/>
      <x:c r="E22" s="13"/>
      <x:c r="F22" s="13"/>
    </x:row>
    <x:row r="23" ht="15" hidden="0" customHeight="1">
      <x:c r="A23" s="13"/>
      <x:c r="B23" s="13"/>
      <x:c r="C23" s="13"/>
      <x:c r="D23" s="13"/>
      <x:c r="E23" s="13"/>
      <x:c r="F23" s="13"/>
    </x:row>
    <x:row r="24" ht="15" hidden="0" customHeight="1">
      <x:c r="A24" s="13"/>
      <x:c r="B24" s="13"/>
      <x:c r="C24" s="13"/>
      <x:c r="D24" s="13"/>
      <x:c r="E24" s="13"/>
      <x:c r="F24" s="13"/>
    </x:row>
    <x:row r="25" ht="15" hidden="0" customHeight="1">
      <x:c r="A25" s="13"/>
      <x:c r="B25" s="13"/>
      <x:c r="C25" s="13"/>
      <x:c r="D25" s="13"/>
      <x:c r="E25" s="13"/>
      <x:c r="F25" s="13"/>
    </x:row>
    <x:row r="26" ht="15" hidden="0" customHeight="1">
      <x:c r="A26" s="13"/>
      <x:c r="B26" s="13"/>
      <x:c r="C26" s="13"/>
      <x:c r="D26" s="13"/>
      <x:c r="E26" s="13"/>
      <x:c r="F26" s="13"/>
    </x:row>
    <x:row r="27" ht="15" hidden="0" customHeight="1">
      <x:c r="A27" s="13"/>
      <x:c r="B27" s="13"/>
      <x:c r="C27" s="13"/>
      <x:c r="D27" s="13"/>
      <x:c r="E27" s="13"/>
      <x:c r="F27" s="13"/>
    </x:row>
    <x:row r="28" ht="15" hidden="0" customHeight="1">
      <x:c r="A28" s="13"/>
      <x:c r="B28" s="13"/>
      <x:c r="C28" s="13"/>
      <x:c r="D28" s="13"/>
      <x:c r="E28" s="13"/>
      <x:c r="F28" s="13"/>
    </x:row>
    <x:row r="29" ht="15" hidden="0" customHeight="1">
      <x:c r="A29" s="13"/>
      <x:c r="B29" s="13"/>
      <x:c r="C29" s="13"/>
      <x:c r="D29" s="13"/>
      <x:c r="E29" s="13"/>
      <x:c r="F29" s="13"/>
    </x:row>
    <x:row r="30" ht="15" hidden="0" customHeight="1">
      <x:c r="A30" s="13"/>
      <x:c r="B30" s="13"/>
      <x:c r="C30" s="13"/>
      <x:c r="D30" s="13"/>
      <x:c r="E30" s="13"/>
      <x:c r="F30" s="13"/>
    </x:row>
    <x:row r="31" ht="15" hidden="0" customHeight="1">
      <x:c r="A31" s="13"/>
      <x:c r="B31" s="13"/>
      <x:c r="C31" s="13"/>
      <x:c r="D31" s="13"/>
      <x:c r="E31" s="13"/>
      <x:c r="F31" s="13"/>
    </x:row>
    <x:row r="32" ht="15" hidden="0" customHeight="1">
      <x:c r="A32" s="13"/>
      <x:c r="B32" s="13"/>
      <x:c r="C32" s="13"/>
      <x:c r="D32" s="13"/>
      <x:c r="E32" s="13"/>
      <x:c r="F32" s="13"/>
    </x:row>
    <x:row r="33" ht="15" hidden="0" customHeight="1">
      <x:c r="A33" s="13"/>
      <x:c r="B33" s="13"/>
      <x:c r="C33" s="13"/>
      <x:c r="D33" s="13"/>
      <x:c r="E33" s="13"/>
      <x:c r="F33" s="13"/>
    </x:row>
    <x:row r="34" ht="15" hidden="0" customHeight="1">
      <x:c r="A34" s="13"/>
      <x:c r="B34" s="13"/>
      <x:c r="C34" s="13"/>
      <x:c r="D34" s="13"/>
      <x:c r="E34" s="13"/>
      <x:c r="F34" s="13"/>
    </x:row>
    <x:row r="35" ht="15" hidden="0" customHeight="1">
      <x:c r="A35" s="13"/>
      <x:c r="B35" s="13"/>
      <x:c r="C35" s="13"/>
      <x:c r="D35" s="13"/>
      <x:c r="E35" s="13"/>
      <x:c r="F35" s="13"/>
    </x:row>
    <x:row r="36" ht="15" hidden="0" customHeight="1">
      <x:c r="A36" s="13"/>
      <x:c r="B36" s="13"/>
      <x:c r="C36" s="13"/>
      <x:c r="D36" s="13"/>
      <x:c r="E36" s="13"/>
      <x:c r="F36" s="13"/>
    </x:row>
    <x:row r="37" ht="15" hidden="0" customHeight="1">
      <x:c r="A37" s="13"/>
      <x:c r="B37" s="13"/>
      <x:c r="C37" s="13"/>
      <x:c r="D37" s="13"/>
      <x:c r="E37" s="13"/>
      <x:c r="F37" s="13"/>
    </x:row>
    <x:row r="38" ht="15" hidden="0" customHeight="1">
      <x:c r="A38" s="13"/>
      <x:c r="B38" s="13"/>
      <x:c r="C38" s="13"/>
      <x:c r="D38" s="13"/>
      <x:c r="E38" s="13"/>
      <x:c r="F38" s="13"/>
    </x:row>
    <x:row r="39" ht="15" hidden="0" customHeight="1">
      <x:c r="A39" s="13"/>
      <x:c r="B39" s="13"/>
      <x:c r="C39" s="13"/>
      <x:c r="D39" s="13"/>
      <x:c r="E39" s="13"/>
      <x:c r="F39" s="13"/>
    </x:row>
    <x:row r="40" ht="15" hidden="0" customHeight="1">
      <x:c r="A40" s="13"/>
      <x:c r="B40" s="13"/>
      <x:c r="C40" s="13"/>
      <x:c r="D40" s="13"/>
      <x:c r="E40" s="13"/>
      <x:c r="F40" s="13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42" hidden="0" customWidth="1"/>
  </x:cols>
  <x:sheetData>
    <x:row r="1" ht="15" hidden="0" customHeight="1">
      <x:c r="A1" s="26" t="str">
        <x:v>Input</x:v>
      </x:c>
      <x:c r="B1" s="26" t="str">
        <x:v>Value</x:v>
      </x:c>
      <x:c r="C1" s="26" t="str">
        <x:v>Unit</x:v>
      </x:c>
      <x:c r="D1" s="26" t="str">
        <x:v>Source / note</x:v>
      </x:c>
      <x:c r="E1" s="13"/>
      <x:c r="F1" s="13"/>
    </x:row>
    <x:row r="2" ht="15" hidden="0" customHeight="1">
      <x:c r="A2" s="13" t="str">
        <x:v>Model</x:v>
      </x:c>
      <x:c r="B2" s="28" t="str">
        <x:v>Qwen2.5-72B-Instruct</x:v>
      </x:c>
      <x:c r="C2" s="13" t="str"/>
      <x:c r="D2" s="13" t="str">
        <x:v>Official Qwen model card/config</x:v>
      </x:c>
      <x:c r="E2" s="13"/>
      <x:c r="F2" s="13"/>
    </x:row>
    <x:row r="3" ht="15" hidden="0" customHeight="1">
      <x:c r="A3" s="13" t="str">
        <x:v>Layers</x:v>
      </x:c>
      <x:c r="B3" s="28" t="n">
        <x:v>80</x:v>
      </x:c>
      <x:c r="C3" s="13" t="str">
        <x:v>layers</x:v>
      </x:c>
      <x:c r="D3" s="13" t="str">
        <x:v>https://huggingface.co/Qwen/Qwen2.5-72B-Instruct/blob/main/config.json</x:v>
      </x:c>
      <x:c r="E3" s="13"/>
      <x:c r="F3" s="13"/>
    </x:row>
    <x:row r="4" ht="15" hidden="0" customHeight="1">
      <x:c r="A4" s="13" t="str">
        <x:v>Hidden size</x:v>
      </x:c>
      <x:c r="B4" s="28" t="n">
        <x:v>8192</x:v>
      </x:c>
      <x:c r="C4" s="13" t="str">
        <x:v>elements</x:v>
      </x:c>
      <x:c r="D4" s="13" t="str">
        <x:v>https://huggingface.co/Qwen/Qwen2.5-72B-Instruct/blob/main/config.json</x:v>
      </x:c>
      <x:c r="E4" s="13"/>
      <x:c r="F4" s="13"/>
    </x:row>
    <x:row r="5" ht="15" hidden="0" customHeight="1">
      <x:c r="A5" s="13" t="str">
        <x:v>Query heads</x:v>
      </x:c>
      <x:c r="B5" s="28" t="n">
        <x:v>64</x:v>
      </x:c>
      <x:c r="C5" s="13" t="str">
        <x:v>heads</x:v>
      </x:c>
      <x:c r="D5" s="13" t="str">
        <x:v>https://huggingface.co/Qwen/Qwen2.5-72B-Instruct/blob/main/config.json</x:v>
      </x:c>
      <x:c r="E5" s="13"/>
      <x:c r="F5" s="13"/>
    </x:row>
    <x:row r="6" ht="15" hidden="0" customHeight="1">
      <x:c r="A6" s="13" t="str">
        <x:v>KV heads</x:v>
      </x:c>
      <x:c r="B6" s="28" t="n">
        <x:v>8</x:v>
      </x:c>
      <x:c r="C6" s="13" t="str">
        <x:v>heads</x:v>
      </x:c>
      <x:c r="D6" s="13" t="str">
        <x:v>https://huggingface.co/Qwen/Qwen2.5-72B-Instruct/blob/main/config.json</x:v>
      </x:c>
      <x:c r="E6" s="13"/>
      <x:c r="F6" s="13"/>
    </x:row>
    <x:row r="7" ht="15" hidden="0" customHeight="1">
      <x:c r="A7" s="13" t="str">
        <x:v>Head dimension</x:v>
      </x:c>
      <x:c r="B7" s="28" t="n">
        <x:f>B4/B5</x:f>
        <x:v>128</x:v>
      </x:c>
      <x:c r="C7" s="13" t="str">
        <x:v>elements/head</x:v>
      </x:c>
      <x:c r="D7" s="13" t="str">
        <x:v>hidden_size / query_heads</x:v>
      </x:c>
      <x:c r="E7" s="13"/>
      <x:c r="F7" s="13"/>
    </x:row>
    <x:row r="8" ht="15" hidden="0" customHeight="1">
      <x:c r="A8" s="13" t="str">
        <x:v>KV bytes / element</x:v>
      </x:c>
      <x:c r="B8" s="28" t="n">
        <x:v>2</x:v>
      </x:c>
      <x:c r="C8" s="13" t="str">
        <x:v>bytes</x:v>
      </x:c>
      <x:c r="D8" s="13" t="str">
        <x:v>BF16 analytical payload</x:v>
      </x:c>
      <x:c r="E8" s="13"/>
      <x:c r="F8" s="13"/>
    </x:row>
    <x:row r="9" ht="15" hidden="0" customHeight="1">
      <x:c r="A9" s="13" t="str">
        <x:v>Default model dtype</x:v>
      </x:c>
      <x:c r="B9" s="28" t="str">
        <x:v>bfloat16</x:v>
      </x:c>
      <x:c r="C9" s="13" t="str"/>
      <x:c r="D9" s="13" t="str">
        <x:v>config.json</x:v>
      </x:c>
      <x:c r="E9" s="13"/>
      <x:c r="F9" s="13"/>
    </x:row>
    <x:row r="10" ht="15" hidden="0" customHeight="1">
      <x:c r="A10" s="13" t="str">
        <x:v>Default config context</x:v>
      </x:c>
      <x:c r="B10" s="28" t="n">
        <x:v>32768</x:v>
      </x:c>
      <x:c r="C10" s="13" t="str">
        <x:v>tokens</x:v>
      </x:c>
      <x:c r="D10" s="13" t="str">
        <x:v>max_position_embeddings</x:v>
      </x:c>
      <x:c r="E10" s="13"/>
      <x:c r="F10" s="13"/>
    </x:row>
    <x:row r="11" ht="15" hidden="0" customHeight="1">
      <x:c r="A11" s="13" t="str">
        <x:v>Advertised full context</x:v>
      </x:c>
      <x:c r="B11" s="28" t="n">
        <x:v>131072</x:v>
      </x:c>
      <x:c r="C11" s="13" t="str">
        <x:v>tokens</x:v>
      </x:c>
      <x:c r="D11" s="13" t="str">
        <x:v>requires long-context/YaRN configuration beyond 32K</x:v>
      </x:c>
      <x:c r="E11" s="13"/>
      <x:c r="F11" s="13"/>
    </x:row>
    <x:row r="12" ht="15" hidden="0" customHeight="1">
      <x:c r="A12" s="13" t="str">
        <x:v>Sliding-window active</x:v>
      </x:c>
      <x:c r="B12" s="29" t="b">
        <x:v>0</x:v>
      </x:c>
      <x:c r="C12" s="13" t="str"/>
      <x:c r="D12" s="13" t="str">
        <x:v>use_sliding_window=false</x:v>
      </x:c>
      <x:c r="E12" s="13"/>
      <x:c r="F12" s="13"/>
    </x:row>
    <x:row r="13" ht="15" hidden="0" customHeight="1">
      <x:c r="A13" s="13" t="str">
        <x:v>Simple full-attention formula applicable</x:v>
      </x:c>
      <x:c r="B13" s="29" t="b">
        <x:v>1</x:v>
      </x:c>
      <x:c r="C13" s="13" t="str"/>
      <x:c r="D13" s="13" t="str">
        <x:v>Qwen teaching case only</x:v>
      </x:c>
      <x:c r="E13" s="13"/>
      <x:c r="F13" s="13"/>
    </x:row>
    <x:row r="14" ht="15" hidden="0" customHeight="1">
      <x:c r="A14" s="13"/>
      <x:c r="B14" s="13"/>
      <x:c r="C14" s="13"/>
      <x:c r="D14" s="13"/>
      <x:c r="E14" s="13"/>
      <x:c r="F14" s="13"/>
    </x:row>
    <x:row r="15" ht="15" hidden="0" customHeight="1">
      <x:c r="A15" s="13"/>
      <x:c r="B15" s="13"/>
      <x:c r="C15" s="13"/>
      <x:c r="D15" s="13"/>
      <x:c r="E15" s="13"/>
      <x:c r="F15" s="13"/>
    </x:row>
    <x:row r="16" ht="15" hidden="0" customHeight="1">
      <x:c r="A16" s="13"/>
      <x:c r="B16" s="13"/>
      <x:c r="C16" s="13"/>
      <x:c r="D16" s="13"/>
      <x:c r="E16" s="13"/>
      <x:c r="F16" s="13"/>
    </x:row>
    <x:row r="17" ht="15" hidden="0" customHeight="1">
      <x:c r="A17" s="13"/>
      <x:c r="B17" s="13"/>
      <x:c r="C17" s="13"/>
      <x:c r="D17" s="13"/>
      <x:c r="E17" s="13"/>
      <x:c r="F17" s="13"/>
    </x:row>
    <x:row r="18" ht="15" hidden="0" customHeight="1">
      <x:c r="A18" s="13"/>
      <x:c r="B18" s="13"/>
      <x:c r="C18" s="13"/>
      <x:c r="D18" s="13"/>
      <x:c r="E18" s="13"/>
      <x:c r="F18" s="13"/>
    </x:row>
    <x:row r="19" ht="15" hidden="0" customHeight="1">
      <x:c r="A19" s="13"/>
      <x:c r="B19" s="13"/>
      <x:c r="C19" s="13"/>
      <x:c r="D19" s="13"/>
      <x:c r="E19" s="13"/>
      <x:c r="F19" s="13"/>
    </x:row>
    <x:row r="20" ht="15" hidden="0" customHeight="1">
      <x:c r="A20" s="13"/>
      <x:c r="B20" s="13"/>
      <x:c r="C20" s="13"/>
      <x:c r="D20" s="13"/>
      <x:c r="E20" s="13"/>
      <x:c r="F20" s="13"/>
    </x:row>
    <x:row r="21" ht="15" hidden="0" customHeight="1">
      <x:c r="A21" s="13"/>
      <x:c r="B21" s="13"/>
      <x:c r="C21" s="13"/>
      <x:c r="D21" s="13"/>
      <x:c r="E21" s="13"/>
      <x:c r="F21" s="13"/>
    </x:row>
    <x:row r="22" ht="15" hidden="0" customHeight="1">
      <x:c r="A22" s="13"/>
      <x:c r="B22" s="13"/>
      <x:c r="C22" s="13"/>
      <x:c r="D22" s="13"/>
      <x:c r="E22" s="13"/>
      <x:c r="F22" s="13"/>
    </x:row>
    <x:row r="23" ht="15" hidden="0" customHeight="1">
      <x:c r="A23" s="13"/>
      <x:c r="B23" s="13"/>
      <x:c r="C23" s="13"/>
      <x:c r="D23" s="13"/>
      <x:c r="E23" s="13"/>
      <x:c r="F23" s="13"/>
    </x:row>
    <x:row r="24" ht="15" hidden="0" customHeight="1">
      <x:c r="A24" s="13"/>
      <x:c r="B24" s="13"/>
      <x:c r="C24" s="13"/>
      <x:c r="D24" s="13"/>
      <x:c r="E24" s="13"/>
      <x:c r="F24" s="13"/>
    </x:row>
    <x:row r="25" ht="15" hidden="0" customHeight="1">
      <x:c r="A25" s="13"/>
      <x:c r="B25" s="13"/>
      <x:c r="C25" s="13"/>
      <x:c r="D25" s="13"/>
      <x:c r="E25" s="13"/>
      <x:c r="F25" s="13"/>
    </x:row>
    <x:row r="26" ht="15" hidden="0" customHeight="1">
      <x:c r="A26" s="13"/>
      <x:c r="B26" s="13"/>
      <x:c r="C26" s="13"/>
      <x:c r="D26" s="13"/>
      <x:c r="E26" s="13"/>
      <x:c r="F26" s="13"/>
    </x:row>
    <x:row r="27" ht="15" hidden="0" customHeight="1">
      <x:c r="A27" s="13"/>
      <x:c r="B27" s="13"/>
      <x:c r="C27" s="13"/>
      <x:c r="D27" s="13"/>
      <x:c r="E27" s="13"/>
      <x:c r="F27" s="13"/>
    </x:row>
    <x:row r="28" ht="15" hidden="0" customHeight="1">
      <x:c r="A28" s="13"/>
      <x:c r="B28" s="13"/>
      <x:c r="C28" s="13"/>
      <x:c r="D28" s="13"/>
      <x:c r="E28" s="13"/>
      <x:c r="F28" s="13"/>
    </x:row>
    <x:row r="29" ht="15" hidden="0" customHeight="1">
      <x:c r="A29" s="13"/>
      <x:c r="B29" s="13"/>
      <x:c r="C29" s="13"/>
      <x:c r="D29" s="13"/>
      <x:c r="E29" s="13"/>
      <x:c r="F29" s="13"/>
    </x:row>
    <x:row r="30" ht="15" hidden="0" customHeight="1">
      <x:c r="A30" s="13"/>
      <x:c r="B30" s="13"/>
      <x:c r="C30" s="13"/>
      <x:c r="D30" s="13"/>
      <x:c r="E30" s="13"/>
      <x:c r="F30" s="13"/>
    </x:row>
    <x:row r="31" ht="15" hidden="0" customHeight="1">
      <x:c r="A31" s="13"/>
      <x:c r="B31" s="13"/>
      <x:c r="C31" s="13"/>
      <x:c r="D31" s="13"/>
      <x:c r="E31" s="13"/>
      <x:c r="F31" s="13"/>
    </x:row>
    <x:row r="32" ht="15" hidden="0" customHeight="1">
      <x:c r="A32" s="13"/>
      <x:c r="B32" s="13"/>
      <x:c r="C32" s="13"/>
      <x:c r="D32" s="13"/>
      <x:c r="E32" s="13"/>
      <x:c r="F32" s="13"/>
    </x:row>
    <x:row r="33" ht="15" hidden="0" customHeight="1">
      <x:c r="A33" s="13"/>
      <x:c r="B33" s="13"/>
      <x:c r="C33" s="13"/>
      <x:c r="D33" s="13"/>
      <x:c r="E33" s="13"/>
      <x:c r="F33" s="13"/>
    </x:row>
    <x:row r="34" ht="15" hidden="0" customHeight="1">
      <x:c r="A34" s="13"/>
      <x:c r="B34" s="13"/>
      <x:c r="C34" s="13"/>
      <x:c r="D34" s="13"/>
      <x:c r="E34" s="13"/>
      <x:c r="F34" s="13"/>
    </x:row>
    <x:row r="35" ht="15" hidden="0" customHeight="1">
      <x:c r="A35" s="13"/>
      <x:c r="B35" s="13"/>
      <x:c r="C35" s="13"/>
      <x:c r="D35" s="13"/>
      <x:c r="E35" s="13"/>
      <x:c r="F35" s="13"/>
    </x:row>
    <x:row r="36" ht="15" hidden="0" customHeight="1">
      <x:c r="A36" s="13"/>
      <x:c r="B36" s="13"/>
      <x:c r="C36" s="13"/>
      <x:c r="D36" s="13"/>
      <x:c r="E36" s="13"/>
      <x:c r="F36" s="13"/>
    </x:row>
    <x:row r="37" ht="15" hidden="0" customHeight="1">
      <x:c r="A37" s="13"/>
      <x:c r="B37" s="13"/>
      <x:c r="C37" s="13"/>
      <x:c r="D37" s="13"/>
      <x:c r="E37" s="13"/>
      <x:c r="F37" s="13"/>
    </x:row>
    <x:row r="38" ht="15" hidden="0" customHeight="1">
      <x:c r="A38" s="13"/>
      <x:c r="B38" s="13"/>
      <x:c r="C38" s="13"/>
      <x:c r="D38" s="13"/>
      <x:c r="E38" s="13"/>
      <x:c r="F38" s="13"/>
    </x:row>
    <x:row r="39" ht="15" hidden="0" customHeight="1">
      <x:c r="A39" s="13"/>
      <x:c r="B39" s="13"/>
      <x:c r="C39" s="13"/>
      <x:c r="D39" s="13"/>
      <x:c r="E39" s="13"/>
      <x:c r="F39" s="13"/>
    </x:row>
    <x:row r="40" ht="15" hidden="0" customHeight="1">
      <x:c r="A40" s="13"/>
      <x:c r="B40" s="13"/>
      <x:c r="C40" s="13"/>
      <x:c r="D40" s="13"/>
      <x:c r="E40" s="13"/>
      <x:c r="F40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42" hidden="0" customWidth="1"/>
  </x:cols>
  <x:sheetData>
    <x:row r="1" ht="15" hidden="0" customHeight="1">
      <x:c r="A1" s="26" t="str">
        <x:v>Input / output</x:v>
      </x:c>
      <x:c r="B1" s="26" t="str">
        <x:v>Value</x:v>
      </x:c>
      <x:c r="C1" s="26" t="str">
        <x:v>Unit</x:v>
      </x:c>
      <x:c r="D1" s="26" t="str">
        <x:v>Classification</x:v>
      </x:c>
      <x:c r="E1" s="13"/>
      <x:c r="F1" s="13"/>
    </x:row>
    <x:row r="2" ht="15" hidden="0" customHeight="1">
      <x:c r="A2" s="13" t="str">
        <x:v>KV budget scenario</x:v>
      </x:c>
      <x:c r="B2" s="28" t="n">
        <x:v>80</x:v>
      </x:c>
      <x:c r="C2" s="13" t="str">
        <x:v>GiB</x:v>
      </x:c>
      <x:c r="D2" s="13" t="str">
        <x:v>SCENARIO</x:v>
      </x:c>
      <x:c r="E2" s="13"/>
      <x:c r="F2" s="13"/>
    </x:row>
    <x:row r="3" ht="15" hidden="0" customHeight="1">
      <x:c r="A3" s="13" t="str">
        <x:v>KV budget bytes</x:v>
      </x:c>
      <x:c r="B3" s="28" t="n">
        <x:f>B2*1073741824</x:f>
        <x:v>85899345920</x:v>
      </x:c>
      <x:c r="C3" s="13" t="str">
        <x:v>bytes</x:v>
      </x:c>
      <x:c r="D3" s="13" t="str">
        <x:v>CALCULATION</x:v>
      </x:c>
      <x:c r="E3" s="13"/>
      <x:c r="F3" s="13"/>
    </x:row>
    <x:row r="4" ht="15" hidden="0" customHeight="1">
      <x:c r="A4" s="13" t="str">
        <x:v>Block size</x:v>
      </x:c>
      <x:c r="B4" s="28" t="n">
        <x:v>16</x:v>
      </x:c>
      <x:c r="C4" s="13" t="str">
        <x:v>tokens/block</x:v>
      </x:c>
      <x:c r="D4" s="13" t="str">
        <x:v>SCENARIO</x:v>
      </x:c>
      <x:c r="E4" s="13"/>
      <x:c r="F4" s="13"/>
    </x:row>
    <x:row r="5" ht="15" hidden="0" customHeight="1">
      <x:c r="A5" s="13" t="str">
        <x:v>Output reserve</x:v>
      </x:c>
      <x:c r="B5" s="28" t="n">
        <x:v>2048</x:v>
      </x:c>
      <x:c r="C5" s="13" t="str">
        <x:v>tokens/request</x:v>
      </x:c>
      <x:c r="D5" s="13" t="str">
        <x:v>SCENARIO</x:v>
      </x:c>
      <x:c r="E5" s="13"/>
      <x:c r="F5" s="13"/>
    </x:row>
    <x:row r="6" ht="15" hidden="0" customHeight="1">
      <x:c r="A6" s="13" t="str">
        <x:v>Runtime-reported token capacity</x:v>
      </x:c>
      <x:c r="B6" s="28" t="n">
        <x:v>0</x:v>
      </x:c>
      <x:c r="C6" s="13" t="str">
        <x:v>tokens (0 = not provided)</x:v>
      </x:c>
      <x:c r="D6" s="13" t="str">
        <x:v>RUNTIME INPUT</x:v>
      </x:c>
      <x:c r="E6" s="13"/>
      <x:c r="F6" s="13"/>
    </x:row>
    <x:row r="7" ht="15" hidden="0" customHeight="1">
      <x:c r="A7" s="13" t="str">
        <x:v>Runtime-reported max concurrency</x:v>
      </x:c>
      <x:c r="B7" s="28" t="n">
        <x:v>0</x:v>
      </x:c>
      <x:c r="C7" s="13" t="str">
        <x:v>requests (0 = not provided)</x:v>
      </x:c>
      <x:c r="D7" s="13" t="str">
        <x:v>RUNTIME INPUT</x:v>
      </x:c>
      <x:c r="E7" s="13"/>
      <x:c r="F7" s="13"/>
    </x:row>
    <x:row r="8" ht="15" hidden="0" customHeight="1">
      <x:c r="A8" s="13" t="str">
        <x:v>Safe margin fraction</x:v>
      </x:c>
      <x:c r="B8" s="28" t="n">
        <x:v>0</x:v>
      </x:c>
      <x:c r="C8" s="13" t="str">
        <x:v>0–1</x:v>
      </x:c>
      <x:c r="D8" s="13" t="str">
        <x:v>USER POLICY; no universal default</x:v>
      </x:c>
      <x:c r="E8" s="13"/>
      <x:c r="F8" s="13"/>
    </x:row>
    <x:row r="9" ht="15" hidden="0" customHeight="1">
      <x:c r="A9" s="13" t="str">
        <x:v>Effective analytical KV budget</x:v>
      </x:c>
      <x:c r="B9" s="13" t="n">
        <x:f>B3*(1-B8)</x:f>
        <x:v>85899345920</x:v>
      </x:c>
      <x:c r="C9" s="13" t="str">
        <x:v>bytes</x:v>
      </x:c>
      <x:c r="D9" s="13" t="str">
        <x:v>CALCULATION</x:v>
      </x:c>
      <x:c r="E9" s="13"/>
      <x:c r="F9" s="13"/>
    </x:row>
    <x:row r="10" ht="15" hidden="0" customHeight="1">
      <x:c r="A10" s="13"/>
      <x:c r="B10" s="13"/>
      <x:c r="C10" s="13"/>
      <x:c r="D10" s="13"/>
      <x:c r="E10" s="13"/>
      <x:c r="F10" s="13"/>
    </x:row>
    <x:row r="11" ht="15" hidden="0" customHeight="1">
      <x:c r="A11" s="13"/>
      <x:c r="B11" s="13"/>
      <x:c r="C11" s="13"/>
      <x:c r="D11" s="13"/>
      <x:c r="E11" s="13"/>
      <x:c r="F11" s="13"/>
    </x:row>
    <x:row r="12" ht="15" hidden="0" customHeight="1">
      <x:c r="A12" s="13"/>
      <x:c r="B12" s="13"/>
      <x:c r="C12" s="13"/>
      <x:c r="D12" s="13"/>
      <x:c r="E12" s="13"/>
      <x:c r="F12" s="13"/>
    </x:row>
    <x:row r="13" ht="15" hidden="0" customHeight="1">
      <x:c r="A13" s="13"/>
      <x:c r="B13" s="13"/>
      <x:c r="C13" s="13"/>
      <x:c r="D13" s="13"/>
      <x:c r="E13" s="13"/>
      <x:c r="F13" s="13"/>
    </x:row>
    <x:row r="14" ht="15" hidden="0" customHeight="1">
      <x:c r="A14" s="13"/>
      <x:c r="B14" s="13"/>
      <x:c r="C14" s="13"/>
      <x:c r="D14" s="13"/>
      <x:c r="E14" s="13"/>
      <x:c r="F14" s="13"/>
    </x:row>
    <x:row r="15" ht="15" hidden="0" customHeight="1">
      <x:c r="A15" s="13"/>
      <x:c r="B15" s="13"/>
      <x:c r="C15" s="13"/>
      <x:c r="D15" s="13"/>
      <x:c r="E15" s="13"/>
      <x:c r="F15" s="13"/>
    </x:row>
    <x:row r="16" ht="15" hidden="0" customHeight="1">
      <x:c r="A16" s="13"/>
      <x:c r="B16" s="13"/>
      <x:c r="C16" s="13"/>
      <x:c r="D16" s="13"/>
      <x:c r="E16" s="13"/>
      <x:c r="F16" s="13"/>
    </x:row>
    <x:row r="17" ht="15" hidden="0" customHeight="1">
      <x:c r="A17" s="13"/>
      <x:c r="B17" s="13"/>
      <x:c r="C17" s="13"/>
      <x:c r="D17" s="13"/>
      <x:c r="E17" s="13"/>
      <x:c r="F17" s="13"/>
    </x:row>
    <x:row r="18" ht="15" hidden="0" customHeight="1">
      <x:c r="A18" s="13"/>
      <x:c r="B18" s="13"/>
      <x:c r="C18" s="13"/>
      <x:c r="D18" s="13"/>
      <x:c r="E18" s="13"/>
      <x:c r="F18" s="13"/>
    </x:row>
    <x:row r="19" ht="15" hidden="0" customHeight="1">
      <x:c r="A19" s="13"/>
      <x:c r="B19" s="13"/>
      <x:c r="C19" s="13"/>
      <x:c r="D19" s="13"/>
      <x:c r="E19" s="13"/>
      <x:c r="F19" s="13"/>
    </x:row>
    <x:row r="20" ht="15" hidden="0" customHeight="1">
      <x:c r="A20" s="13"/>
      <x:c r="B20" s="13"/>
      <x:c r="C20" s="13"/>
      <x:c r="D20" s="13"/>
      <x:c r="E20" s="13"/>
      <x:c r="F20" s="13"/>
    </x:row>
    <x:row r="21" ht="15" hidden="0" customHeight="1">
      <x:c r="A21" s="13"/>
      <x:c r="B21" s="13"/>
      <x:c r="C21" s="13"/>
      <x:c r="D21" s="13"/>
      <x:c r="E21" s="13"/>
      <x:c r="F21" s="13"/>
    </x:row>
    <x:row r="22" ht="15" hidden="0" customHeight="1">
      <x:c r="A22" s="13"/>
      <x:c r="B22" s="13"/>
      <x:c r="C22" s="13"/>
      <x:c r="D22" s="13"/>
      <x:c r="E22" s="13"/>
      <x:c r="F22" s="13"/>
    </x:row>
    <x:row r="23" ht="15" hidden="0" customHeight="1">
      <x:c r="A23" s="13"/>
      <x:c r="B23" s="13"/>
      <x:c r="C23" s="13"/>
      <x:c r="D23" s="13"/>
      <x:c r="E23" s="13"/>
      <x:c r="F23" s="13"/>
    </x:row>
    <x:row r="24" ht="15" hidden="0" customHeight="1">
      <x:c r="A24" s="13"/>
      <x:c r="B24" s="13"/>
      <x:c r="C24" s="13"/>
      <x:c r="D24" s="13"/>
      <x:c r="E24" s="13"/>
      <x:c r="F24" s="13"/>
    </x:row>
    <x:row r="25" ht="15" hidden="0" customHeight="1">
      <x:c r="A25" s="13"/>
      <x:c r="B25" s="13"/>
      <x:c r="C25" s="13"/>
      <x:c r="D25" s="13"/>
      <x:c r="E25" s="13"/>
      <x:c r="F25" s="13"/>
    </x:row>
    <x:row r="26" ht="15" hidden="0" customHeight="1">
      <x:c r="A26" s="13"/>
      <x:c r="B26" s="13"/>
      <x:c r="C26" s="13"/>
      <x:c r="D26" s="13"/>
      <x:c r="E26" s="13"/>
      <x:c r="F26" s="13"/>
    </x:row>
    <x:row r="27" ht="15" hidden="0" customHeight="1">
      <x:c r="A27" s="13"/>
      <x:c r="B27" s="13"/>
      <x:c r="C27" s="13"/>
      <x:c r="D27" s="13"/>
      <x:c r="E27" s="13"/>
      <x:c r="F27" s="13"/>
    </x:row>
    <x:row r="28" ht="15" hidden="0" customHeight="1">
      <x:c r="A28" s="13"/>
      <x:c r="B28" s="13"/>
      <x:c r="C28" s="13"/>
      <x:c r="D28" s="13"/>
      <x:c r="E28" s="13"/>
      <x:c r="F28" s="13"/>
    </x:row>
    <x:row r="29" ht="15" hidden="0" customHeight="1">
      <x:c r="A29" s="13"/>
      <x:c r="B29" s="13"/>
      <x:c r="C29" s="13"/>
      <x:c r="D29" s="13"/>
      <x:c r="E29" s="13"/>
      <x:c r="F29" s="13"/>
    </x:row>
    <x:row r="30" ht="15" hidden="0" customHeight="1">
      <x:c r="A30" s="13"/>
      <x:c r="B30" s="13"/>
      <x:c r="C30" s="13"/>
      <x:c r="D30" s="13"/>
      <x:c r="E30" s="13"/>
      <x:c r="F30" s="13"/>
    </x:row>
    <x:row r="31" ht="15" hidden="0" customHeight="1">
      <x:c r="A31" s="13"/>
      <x:c r="B31" s="13"/>
      <x:c r="C31" s="13"/>
      <x:c r="D31" s="13"/>
      <x:c r="E31" s="13"/>
      <x:c r="F31" s="13"/>
    </x:row>
    <x:row r="32" ht="15" hidden="0" customHeight="1">
      <x:c r="A32" s="13"/>
      <x:c r="B32" s="13"/>
      <x:c r="C32" s="13"/>
      <x:c r="D32" s="13"/>
      <x:c r="E32" s="13"/>
      <x:c r="F32" s="13"/>
    </x:row>
    <x:row r="33" ht="15" hidden="0" customHeight="1">
      <x:c r="A33" s="13"/>
      <x:c r="B33" s="13"/>
      <x:c r="C33" s="13"/>
      <x:c r="D33" s="13"/>
      <x:c r="E33" s="13"/>
      <x:c r="F33" s="13"/>
    </x:row>
    <x:row r="34" ht="15" hidden="0" customHeight="1">
      <x:c r="A34" s="13"/>
      <x:c r="B34" s="13"/>
      <x:c r="C34" s="13"/>
      <x:c r="D34" s="13"/>
      <x:c r="E34" s="13"/>
      <x:c r="F34" s="13"/>
    </x:row>
    <x:row r="35" ht="15" hidden="0" customHeight="1">
      <x:c r="A35" s="13"/>
      <x:c r="B35" s="13"/>
      <x:c r="C35" s="13"/>
      <x:c r="D35" s="13"/>
      <x:c r="E35" s="13"/>
      <x:c r="F35" s="13"/>
    </x:row>
    <x:row r="36" ht="15" hidden="0" customHeight="1">
      <x:c r="A36" s="13"/>
      <x:c r="B36" s="13"/>
      <x:c r="C36" s="13"/>
      <x:c r="D36" s="13"/>
      <x:c r="E36" s="13"/>
      <x:c r="F36" s="13"/>
    </x:row>
    <x:row r="37" ht="15" hidden="0" customHeight="1">
      <x:c r="A37" s="13"/>
      <x:c r="B37" s="13"/>
      <x:c r="C37" s="13"/>
      <x:c r="D37" s="13"/>
      <x:c r="E37" s="13"/>
      <x:c r="F37" s="13"/>
    </x:row>
    <x:row r="38" ht="15" hidden="0" customHeight="1">
      <x:c r="A38" s="13"/>
      <x:c r="B38" s="13"/>
      <x:c r="C38" s="13"/>
      <x:c r="D38" s="13"/>
      <x:c r="E38" s="13"/>
      <x:c r="F38" s="13"/>
    </x:row>
    <x:row r="39" ht="15" hidden="0" customHeight="1">
      <x:c r="A39" s="13"/>
      <x:c r="B39" s="13"/>
      <x:c r="C39" s="13"/>
      <x:c r="D39" s="13"/>
      <x:c r="E39" s="13"/>
      <x:c r="F39" s="13"/>
    </x:row>
    <x:row r="40" ht="15" hidden="0" customHeight="1">
      <x:c r="A40" s="13"/>
      <x:c r="B40" s="13"/>
      <x:c r="C40" s="13"/>
      <x:c r="D40" s="13"/>
      <x:c r="E40" s="13"/>
      <x:c r="F40" s="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42" hidden="0" customWidth="1"/>
  </x:cols>
  <x:sheetData>
    <x:row r="1" ht="15" hidden="0" customHeight="1">
      <x:c r="A1" s="26" t="str">
        <x:v>Metric</x:v>
      </x:c>
      <x:c r="B1" s="26" t="str">
        <x:v>Value</x:v>
      </x:c>
      <x:c r="C1" s="26" t="str">
        <x:v>Unit</x:v>
      </x:c>
      <x:c r="D1" s="26" t="str">
        <x:v>Meaning</x:v>
      </x:c>
      <x:c r="E1" s="13"/>
      <x:c r="F1" s="13"/>
    </x:row>
    <x:row r="2" ht="15" hidden="0" customHeight="1">
      <x:c r="A2" s="13" t="str">
        <x:v>Qwen GQA BF16 logical KV</x:v>
      </x:c>
      <x:c r="B2" s="13" t="n">
        <x:f>2*ARCHITECTURE!B3*ARCHITECTURE!B6*ARCHITECTURE!B7*ARCHITECTURE!B8</x:f>
        <x:v>327680</x:v>
      </x:c>
      <x:c r="C2" s="13" t="str">
        <x:v>bytes/token</x:v>
      </x:c>
      <x:c r="D2" s="13" t="str">
        <x:v>2 × layers × KV heads × head dim × bytes/element</x:v>
      </x:c>
      <x:c r="E2" s="13"/>
      <x:c r="F2" s="13"/>
    </x:row>
    <x:row r="3" ht="15" hidden="0" customHeight="1">
      <x:c r="A3" s="13" t="str">
        <x:v>Qwen GQA BF16 logical KV</x:v>
      </x:c>
      <x:c r="B3" s="13" t="n">
        <x:f>B2/1024</x:f>
        <x:v>320</x:v>
      </x:c>
      <x:c r="C3" s="13" t="str">
        <x:v>KiB/token</x:v>
      </x:c>
      <x:c r="D3" s="13" t="str">
        <x:v>binary unit</x:v>
      </x:c>
      <x:c r="E3" s="13"/>
      <x:c r="F3" s="13"/>
    </x:row>
    <x:row r="4" ht="15" hidden="0" customHeight="1">
      <x:c r="A4" s="13" t="str">
        <x:v>Qwen GQA BF16 logical KV</x:v>
      </x:c>
      <x:c r="B4" s="13" t="n">
        <x:f>B2/1048576</x:f>
        <x:v>0.3125</x:v>
      </x:c>
      <x:c r="C4" s="13" t="str">
        <x:v>MiB/token</x:v>
      </x:c>
      <x:c r="D4" s="13" t="str">
        <x:v>binary unit</x:v>
      </x:c>
      <x:c r="E4" s="13"/>
      <x:c r="F4" s="13"/>
    </x:row>
    <x:row r="5" ht="15" hidden="0" customHeight="1">
      <x:c r="A5" s="13" t="str">
        <x:v>Hypothetical MHA BF16 logical KV</x:v>
      </x:c>
      <x:c r="B5" s="13" t="n">
        <x:f>2*ARCHITECTURE!B3*ARCHITECTURE!B5*ARCHITECTURE!B7*ARCHITECTURE!B8</x:f>
        <x:v>2621440</x:v>
      </x:c>
      <x:c r="C5" s="13" t="str">
        <x:v>bytes/token</x:v>
      </x:c>
      <x:c r="D5" s="13" t="str">
        <x:v>same dimensions, KV heads = query heads</x:v>
      </x:c>
      <x:c r="E5" s="13"/>
      <x:c r="F5" s="13"/>
    </x:row>
    <x:row r="6" ht="15" hidden="0" customHeight="1">
      <x:c r="A6" s="13" t="str">
        <x:v>GQA FP8 one-byte scenario</x:v>
      </x:c>
      <x:c r="B6" s="13" t="n">
        <x:f>2*ARCHITECTURE!B3*ARCHITECTURE!B6*ARCHITECTURE!B7*1</x:f>
        <x:v>163840</x:v>
      </x:c>
      <x:c r="C6" s="13" t="str">
        <x:v>bytes/token</x:v>
      </x:c>
      <x:c r="D6" s="13" t="str">
        <x:v>same architecture, 1 byte/element</x:v>
      </x:c>
      <x:c r="E6" s="13"/>
      <x:c r="F6" s="13"/>
    </x:row>
    <x:row r="7" ht="15" hidden="0" customHeight="1">
      <x:c r="A7" s="13" t="str">
        <x:v>GQA memory reduction vs MHA</x:v>
      </x:c>
      <x:c r="B7" s="13" t="n">
        <x:f>ARCHITECTURE!B5/ARCHITECTURE!B6</x:f>
        <x:v>8</x:v>
      </x:c>
      <x:c r="C7" s="13" t="str">
        <x:v>x</x:v>
      </x:c>
      <x:c r="D7" s="13" t="str">
        <x:v>query_heads / kv_heads</x:v>
      </x:c>
      <x:c r="E7" s="13"/>
      <x:c r="F7" s="13"/>
    </x:row>
    <x:row r="8" ht="15" hidden="0" customHeight="1">
      <x:c r="A8" s="13" t="str">
        <x:v>FP8 payload ratio vs BF16</x:v>
      </x:c>
      <x:c r="B8" s="13" t="n">
        <x:f>1/ARCHITECTURE!B8</x:f>
        <x:v>0.5</x:v>
      </x:c>
      <x:c r="C8" s="13" t="str">
        <x:v>x</x:v>
      </x:c>
      <x:c r="D8" s="13" t="str">
        <x:v>1 byte / 2 bytes</x:v>
      </x:c>
      <x:c r="E8" s="13"/>
      <x:c r="F8" s="13"/>
    </x:row>
    <x:row r="9" ht="15" hidden="0" customHeight="1">
      <x:c r="A9" s="13"/>
      <x:c r="B9" s="13"/>
      <x:c r="C9" s="13"/>
      <x:c r="D9" s="13"/>
      <x:c r="E9" s="13"/>
      <x:c r="F9" s="13"/>
    </x:row>
    <x:row r="10" ht="15" hidden="0" customHeight="1">
      <x:c r="A10" s="13"/>
      <x:c r="B10" s="13"/>
      <x:c r="C10" s="13"/>
      <x:c r="D10" s="13"/>
      <x:c r="E10" s="13"/>
      <x:c r="F10" s="13"/>
    </x:row>
    <x:row r="11" ht="15" hidden="0" customHeight="1">
      <x:c r="A11" s="13"/>
      <x:c r="B11" s="13"/>
      <x:c r="C11" s="13"/>
      <x:c r="D11" s="13"/>
      <x:c r="E11" s="13"/>
      <x:c r="F11" s="13"/>
    </x:row>
    <x:row r="12" ht="15" hidden="0" customHeight="1">
      <x:c r="A12" s="13"/>
      <x:c r="B12" s="13"/>
      <x:c r="C12" s="13"/>
      <x:c r="D12" s="13"/>
      <x:c r="E12" s="13"/>
      <x:c r="F12" s="13"/>
    </x:row>
    <x:row r="13" ht="15" hidden="0" customHeight="1">
      <x:c r="A13" s="13"/>
      <x:c r="B13" s="13"/>
      <x:c r="C13" s="13"/>
      <x:c r="D13" s="13"/>
      <x:c r="E13" s="13"/>
      <x:c r="F13" s="13"/>
    </x:row>
    <x:row r="14" ht="15" hidden="0" customHeight="1">
      <x:c r="A14" s="13"/>
      <x:c r="B14" s="13"/>
      <x:c r="C14" s="13"/>
      <x:c r="D14" s="13"/>
      <x:c r="E14" s="13"/>
      <x:c r="F14" s="13"/>
    </x:row>
    <x:row r="15" ht="15" hidden="0" customHeight="1">
      <x:c r="A15" s="13"/>
      <x:c r="B15" s="13"/>
      <x:c r="C15" s="13"/>
      <x:c r="D15" s="13"/>
      <x:c r="E15" s="13"/>
      <x:c r="F15" s="13"/>
    </x:row>
    <x:row r="16" ht="15" hidden="0" customHeight="1">
      <x:c r="A16" s="13"/>
      <x:c r="B16" s="13"/>
      <x:c r="C16" s="13"/>
      <x:c r="D16" s="13"/>
      <x:c r="E16" s="13"/>
      <x:c r="F16" s="13"/>
    </x:row>
    <x:row r="17" ht="15" hidden="0" customHeight="1">
      <x:c r="A17" s="13"/>
      <x:c r="B17" s="13"/>
      <x:c r="C17" s="13"/>
      <x:c r="D17" s="13"/>
      <x:c r="E17" s="13"/>
      <x:c r="F17" s="13"/>
    </x:row>
    <x:row r="18" ht="15" hidden="0" customHeight="1">
      <x:c r="A18" s="13"/>
      <x:c r="B18" s="13"/>
      <x:c r="C18" s="13"/>
      <x:c r="D18" s="13"/>
      <x:c r="E18" s="13"/>
      <x:c r="F18" s="13"/>
    </x:row>
    <x:row r="19" ht="15" hidden="0" customHeight="1">
      <x:c r="A19" s="13"/>
      <x:c r="B19" s="13"/>
      <x:c r="C19" s="13"/>
      <x:c r="D19" s="13"/>
      <x:c r="E19" s="13"/>
      <x:c r="F19" s="13"/>
    </x:row>
    <x:row r="20" ht="15" hidden="0" customHeight="1">
      <x:c r="A20" s="13"/>
      <x:c r="B20" s="13"/>
      <x:c r="C20" s="13"/>
      <x:c r="D20" s="13"/>
      <x:c r="E20" s="13"/>
      <x:c r="F20" s="13"/>
    </x:row>
    <x:row r="21" ht="15" hidden="0" customHeight="1">
      <x:c r="A21" s="13"/>
      <x:c r="B21" s="13"/>
      <x:c r="C21" s="13"/>
      <x:c r="D21" s="13"/>
      <x:c r="E21" s="13"/>
      <x:c r="F21" s="13"/>
    </x:row>
    <x:row r="22" ht="15" hidden="0" customHeight="1">
      <x:c r="A22" s="13"/>
      <x:c r="B22" s="13"/>
      <x:c r="C22" s="13"/>
      <x:c r="D22" s="13"/>
      <x:c r="E22" s="13"/>
      <x:c r="F22" s="13"/>
    </x:row>
    <x:row r="23" ht="15" hidden="0" customHeight="1">
      <x:c r="A23" s="13"/>
      <x:c r="B23" s="13"/>
      <x:c r="C23" s="13"/>
      <x:c r="D23" s="13"/>
      <x:c r="E23" s="13"/>
      <x:c r="F23" s="13"/>
    </x:row>
    <x:row r="24" ht="15" hidden="0" customHeight="1">
      <x:c r="A24" s="13"/>
      <x:c r="B24" s="13"/>
      <x:c r="C24" s="13"/>
      <x:c r="D24" s="13"/>
      <x:c r="E24" s="13"/>
      <x:c r="F24" s="13"/>
    </x:row>
    <x:row r="25" ht="15" hidden="0" customHeight="1">
      <x:c r="A25" s="13"/>
      <x:c r="B25" s="13"/>
      <x:c r="C25" s="13"/>
      <x:c r="D25" s="13"/>
      <x:c r="E25" s="13"/>
      <x:c r="F25" s="13"/>
    </x:row>
    <x:row r="26" ht="15" hidden="0" customHeight="1">
      <x:c r="A26" s="13"/>
      <x:c r="B26" s="13"/>
      <x:c r="C26" s="13"/>
      <x:c r="D26" s="13"/>
      <x:c r="E26" s="13"/>
      <x:c r="F26" s="13"/>
    </x:row>
    <x:row r="27" ht="15" hidden="0" customHeight="1">
      <x:c r="A27" s="13"/>
      <x:c r="B27" s="13"/>
      <x:c r="C27" s="13"/>
      <x:c r="D27" s="13"/>
      <x:c r="E27" s="13"/>
      <x:c r="F27" s="13"/>
    </x:row>
    <x:row r="28" ht="15" hidden="0" customHeight="1">
      <x:c r="A28" s="13"/>
      <x:c r="B28" s="13"/>
      <x:c r="C28" s="13"/>
      <x:c r="D28" s="13"/>
      <x:c r="E28" s="13"/>
      <x:c r="F28" s="13"/>
    </x:row>
    <x:row r="29" ht="15" hidden="0" customHeight="1">
      <x:c r="A29" s="13"/>
      <x:c r="B29" s="13"/>
      <x:c r="C29" s="13"/>
      <x:c r="D29" s="13"/>
      <x:c r="E29" s="13"/>
      <x:c r="F29" s="13"/>
    </x:row>
    <x:row r="30" ht="15" hidden="0" customHeight="1">
      <x:c r="A30" s="13"/>
      <x:c r="B30" s="13"/>
      <x:c r="C30" s="13"/>
      <x:c r="D30" s="13"/>
      <x:c r="E30" s="13"/>
      <x:c r="F30" s="13"/>
    </x:row>
    <x:row r="31" ht="15" hidden="0" customHeight="1">
      <x:c r="A31" s="13"/>
      <x:c r="B31" s="13"/>
      <x:c r="C31" s="13"/>
      <x:c r="D31" s="13"/>
      <x:c r="E31" s="13"/>
      <x:c r="F31" s="13"/>
    </x:row>
    <x:row r="32" ht="15" hidden="0" customHeight="1">
      <x:c r="A32" s="13"/>
      <x:c r="B32" s="13"/>
      <x:c r="C32" s="13"/>
      <x:c r="D32" s="13"/>
      <x:c r="E32" s="13"/>
      <x:c r="F32" s="13"/>
    </x:row>
    <x:row r="33" ht="15" hidden="0" customHeight="1">
      <x:c r="A33" s="13"/>
      <x:c r="B33" s="13"/>
      <x:c r="C33" s="13"/>
      <x:c r="D33" s="13"/>
      <x:c r="E33" s="13"/>
      <x:c r="F33" s="13"/>
    </x:row>
    <x:row r="34" ht="15" hidden="0" customHeight="1">
      <x:c r="A34" s="13"/>
      <x:c r="B34" s="13"/>
      <x:c r="C34" s="13"/>
      <x:c r="D34" s="13"/>
      <x:c r="E34" s="13"/>
      <x:c r="F34" s="13"/>
    </x:row>
    <x:row r="35" ht="15" hidden="0" customHeight="1">
      <x:c r="A35" s="13"/>
      <x:c r="B35" s="13"/>
      <x:c r="C35" s="13"/>
      <x:c r="D35" s="13"/>
      <x:c r="E35" s="13"/>
      <x:c r="F35" s="13"/>
    </x:row>
    <x:row r="36" ht="15" hidden="0" customHeight="1">
      <x:c r="A36" s="13"/>
      <x:c r="B36" s="13"/>
      <x:c r="C36" s="13"/>
      <x:c r="D36" s="13"/>
      <x:c r="E36" s="13"/>
      <x:c r="F36" s="13"/>
    </x:row>
    <x:row r="37" ht="15" hidden="0" customHeight="1">
      <x:c r="A37" s="13"/>
      <x:c r="B37" s="13"/>
      <x:c r="C37" s="13"/>
      <x:c r="D37" s="13"/>
      <x:c r="E37" s="13"/>
      <x:c r="F37" s="13"/>
    </x:row>
    <x:row r="38" ht="15" hidden="0" customHeight="1">
      <x:c r="A38" s="13"/>
      <x:c r="B38" s="13"/>
      <x:c r="C38" s="13"/>
      <x:c r="D38" s="13"/>
      <x:c r="E38" s="13"/>
      <x:c r="F38" s="13"/>
    </x:row>
    <x:row r="39" ht="15" hidden="0" customHeight="1">
      <x:c r="A39" s="13"/>
      <x:c r="B39" s="13"/>
      <x:c r="C39" s="13"/>
      <x:c r="D39" s="13"/>
      <x:c r="E39" s="13"/>
      <x:c r="F39" s="13"/>
    </x:row>
    <x:row r="40" ht="15" hidden="0" customHeight="1">
      <x:c r="A40" s="13"/>
      <x:c r="B40" s="13"/>
      <x:c r="C40" s="13"/>
      <x:c r="D40" s="13"/>
      <x:c r="E40" s="13"/>
      <x:c r="F40" s="1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42" hidden="0" customWidth="1"/>
    <x:col min="5" max="5" width="11.25" hidden="0" customWidth="1"/>
  </x:cols>
  <x:sheetData>
    <x:row r="1" ht="15" hidden="0" customHeight="1">
      <x:c r="A1" s="26" t="str">
        <x:v>Request</x:v>
      </x:c>
      <x:c r="B1" s="26" t="str">
        <x:v>Current tokens</x:v>
      </x:c>
      <x:c r="C1" s="26" t="str">
        <x:v>Output reserve</x:v>
      </x:c>
      <x:c r="D1" s="26" t="str">
        <x:v>Reserved tokens</x:v>
      </x:c>
      <x:c r="E1" s="26" t="str">
        <x:v>Logical KV GiB</x:v>
      </x:c>
      <x:c r="F1" s="13"/>
    </x:row>
    <x:row r="2" ht="15" hidden="0" customHeight="1">
      <x:c r="A2" s="13" t="n">
        <x:v>1</x:v>
      </x:c>
      <x:c r="B2" s="28" t="n">
        <x:v>1001</x:v>
      </x:c>
      <x:c r="C2" s="28" t="n">
        <x:v>511</x:v>
      </x:c>
      <x:c r="D2" s="13" t="n">
        <x:f>B2+C2</x:f>
        <x:v>1512</x:v>
      </x:c>
      <x:c r="E2" s="13" t="n">
        <x:f>D2*KV_FORMULA!$B$2/1073741824</x:f>
        <x:v>0.46142578125</x:v>
      </x:c>
      <x:c r="F2" s="13"/>
    </x:row>
    <x:row r="3" ht="15" hidden="0" customHeight="1">
      <x:c r="A3" s="13" t="n">
        <x:v>2</x:v>
      </x:c>
      <x:c r="B3" s="28" t="n">
        <x:v>2047</x:v>
      </x:c>
      <x:c r="C3" s="28" t="n">
        <x:v>1023</x:v>
      </x:c>
      <x:c r="D3" s="13" t="n">
        <x:f>B3+C3</x:f>
        <x:v>3070</x:v>
      </x:c>
      <x:c r="E3" s="13" t="n">
        <x:f>D3*KV_FORMULA!$B$2/1073741824</x:f>
        <x:v>0.9368896484375</x:v>
      </x:c>
      <x:c r="F3" s="13"/>
    </x:row>
    <x:row r="4" ht="15" hidden="0" customHeight="1">
      <x:c r="A4" s="13" t="n">
        <x:v>3</x:v>
      </x:c>
      <x:c r="B4" s="28" t="n">
        <x:v>4097</x:v>
      </x:c>
      <x:c r="C4" s="28" t="n">
        <x:v>2049</x:v>
      </x:c>
      <x:c r="D4" s="13" t="n">
        <x:f>B4+C4</x:f>
        <x:v>6146</x:v>
      </x:c>
      <x:c r="E4" s="13" t="n">
        <x:f>D4*KV_FORMULA!$B$2/1073741824</x:f>
        <x:v>1.8756103515625</x:v>
      </x:c>
      <x:c r="F4" s="13"/>
    </x:row>
    <x:row r="5" ht="15" hidden="0" customHeight="1">
      <x:c r="A5" s="13" t="n">
        <x:v>4</x:v>
      </x:c>
      <x:c r="B5" s="28" t="n">
        <x:v>8191</x:v>
      </x:c>
      <x:c r="C5" s="28" t="n">
        <x:v>4095</x:v>
      </x:c>
      <x:c r="D5" s="13" t="n">
        <x:f>B5+C5</x:f>
        <x:v>12286</x:v>
      </x:c>
      <x:c r="E5" s="13" t="n">
        <x:f>D5*KV_FORMULA!$B$2/1073741824</x:f>
        <x:v>3.7493896484375</x:v>
      </x:c>
      <x:c r="F5" s="13"/>
    </x:row>
    <x:row r="6" ht="15" hidden="0" customHeight="1">
      <x:c r="A6" s="13" t="n">
        <x:v>5</x:v>
      </x:c>
      <x:c r="B6" s="28" t="n">
        <x:v>12003</x:v>
      </x:c>
      <x:c r="C6" s="28" t="n">
        <x:v>3073</x:v>
      </x:c>
      <x:c r="D6" s="13" t="n">
        <x:f>B6+C6</x:f>
        <x:v>15076</x:v>
      </x:c>
      <x:c r="E6" s="13" t="n">
        <x:f>D6*KV_FORMULA!$B$2/1073741824</x:f>
        <x:v>4.600830078125</x:v>
      </x:c>
      <x:c r="F6" s="13"/>
    </x:row>
    <x:row r="7" ht="15" hidden="0" customHeight="1">
      <x:c r="A7" s="13" t="n">
        <x:v>6</x:v>
      </x:c>
      <x:c r="B7" s="28" t="n">
        <x:v>32768</x:v>
      </x:c>
      <x:c r="C7" s="28" t="n">
        <x:v>2048</x:v>
      </x:c>
      <x:c r="D7" s="13" t="n">
        <x:f>B7+C7</x:f>
        <x:v>34816</x:v>
      </x:c>
      <x:c r="E7" s="13" t="n">
        <x:f>D7*KV_FORMULA!$B$2/1073741824</x:f>
        <x:v>10.625</x:v>
      </x:c>
      <x:c r="F7" s="13"/>
    </x:row>
    <x:row r="8" ht="15" hidden="0" customHeight="1">
      <x:c r="A8" s="13" t="n">
        <x:v>7</x:v>
      </x:c>
      <x:c r="B8" s="28" t="n">
        <x:v>131072</x:v>
      </x:c>
      <x:c r="C8" s="28" t="n">
        <x:v>2048</x:v>
      </x:c>
      <x:c r="D8" s="13" t="n">
        <x:f>B8+C8</x:f>
        <x:v>133120</x:v>
      </x:c>
      <x:c r="E8" s="13" t="n">
        <x:f>D8*KV_FORMULA!$B$2/1073741824</x:f>
        <x:v>40.625</x:v>
      </x:c>
      <x:c r="F8" s="13"/>
    </x:row>
    <x:row r="9" ht="15" hidden="0" customHeight="1">
      <x:c r="A9" s="13"/>
      <x:c r="B9" s="13"/>
      <x:c r="C9" s="13"/>
      <x:c r="D9" s="13"/>
      <x:c r="E9" s="13"/>
      <x:c r="F9" s="13"/>
    </x:row>
    <x:row r="10" ht="15" hidden="0" customHeight="1">
      <x:c r="A10" s="13"/>
      <x:c r="B10" s="13"/>
      <x:c r="C10" s="13"/>
      <x:c r="D10" s="13"/>
      <x:c r="E10" s="13"/>
      <x:c r="F10" s="13"/>
    </x:row>
    <x:row r="11" ht="15" hidden="0" customHeight="1">
      <x:c r="A11" s="13"/>
      <x:c r="B11" s="13"/>
      <x:c r="C11" s="13"/>
      <x:c r="D11" s="13"/>
      <x:c r="E11" s="13"/>
      <x:c r="F11" s="13"/>
    </x:row>
    <x:row r="12" ht="15" hidden="0" customHeight="1">
      <x:c r="A12" s="13"/>
      <x:c r="B12" s="13"/>
      <x:c r="C12" s="13"/>
      <x:c r="D12" s="13"/>
      <x:c r="E12" s="13"/>
      <x:c r="F12" s="13"/>
    </x:row>
    <x:row r="13" ht="15" hidden="0" customHeight="1">
      <x:c r="A13" s="13"/>
      <x:c r="B13" s="13"/>
      <x:c r="C13" s="13"/>
      <x:c r="D13" s="13"/>
      <x:c r="E13" s="13"/>
      <x:c r="F13" s="13"/>
    </x:row>
    <x:row r="14" ht="15" hidden="0" customHeight="1">
      <x:c r="A14" s="13"/>
      <x:c r="B14" s="13"/>
      <x:c r="C14" s="13"/>
      <x:c r="D14" s="13"/>
      <x:c r="E14" s="13"/>
      <x:c r="F14" s="13"/>
    </x:row>
    <x:row r="15" ht="15" hidden="0" customHeight="1">
      <x:c r="A15" s="13"/>
      <x:c r="B15" s="13"/>
      <x:c r="C15" s="13"/>
      <x:c r="D15" s="13"/>
      <x:c r="E15" s="13"/>
      <x:c r="F15" s="13"/>
    </x:row>
    <x:row r="16" ht="15" hidden="0" customHeight="1">
      <x:c r="A16" s="13"/>
      <x:c r="B16" s="13"/>
      <x:c r="C16" s="13"/>
      <x:c r="D16" s="13"/>
      <x:c r="E16" s="13"/>
      <x:c r="F16" s="13"/>
    </x:row>
    <x:row r="17" ht="15" hidden="0" customHeight="1">
      <x:c r="A17" s="13"/>
      <x:c r="B17" s="13"/>
      <x:c r="C17" s="13"/>
      <x:c r="D17" s="13"/>
      <x:c r="E17" s="13"/>
      <x:c r="F17" s="13"/>
    </x:row>
    <x:row r="18" ht="15" hidden="0" customHeight="1">
      <x:c r="A18" s="13"/>
      <x:c r="B18" s="13"/>
      <x:c r="C18" s="13"/>
      <x:c r="D18" s="13"/>
      <x:c r="E18" s="13"/>
      <x:c r="F18" s="13"/>
    </x:row>
    <x:row r="19" ht="15" hidden="0" customHeight="1">
      <x:c r="A19" s="13"/>
      <x:c r="B19" s="13"/>
      <x:c r="C19" s="13"/>
      <x:c r="D19" s="13"/>
      <x:c r="E19" s="13"/>
      <x:c r="F19" s="13"/>
    </x:row>
    <x:row r="20" ht="15" hidden="0" customHeight="1">
      <x:c r="A20" s="13"/>
      <x:c r="B20" s="13"/>
      <x:c r="C20" s="13"/>
      <x:c r="D20" s="13"/>
      <x:c r="E20" s="13"/>
      <x:c r="F20" s="13"/>
    </x:row>
    <x:row r="21" ht="15" hidden="0" customHeight="1">
      <x:c r="A21" s="13"/>
      <x:c r="B21" s="13"/>
      <x:c r="C21" s="13"/>
      <x:c r="D21" s="13"/>
      <x:c r="E21" s="13"/>
      <x:c r="F21" s="13"/>
    </x:row>
    <x:row r="22" ht="15" hidden="0" customHeight="1">
      <x:c r="A22" s="13"/>
      <x:c r="B22" s="13"/>
      <x:c r="C22" s="13"/>
      <x:c r="D22" s="13"/>
      <x:c r="E22" s="13"/>
      <x:c r="F22" s="13"/>
    </x:row>
    <x:row r="23" ht="15" hidden="0" customHeight="1">
      <x:c r="A23" s="13"/>
      <x:c r="B23" s="13"/>
      <x:c r="C23" s="13"/>
      <x:c r="D23" s="13"/>
      <x:c r="E23" s="13"/>
      <x:c r="F23" s="13"/>
    </x:row>
    <x:row r="24" ht="15" hidden="0" customHeight="1">
      <x:c r="A24" s="13"/>
      <x:c r="B24" s="13"/>
      <x:c r="C24" s="13"/>
      <x:c r="D24" s="13"/>
      <x:c r="E24" s="13"/>
      <x:c r="F24" s="13"/>
    </x:row>
    <x:row r="25" ht="15" hidden="0" customHeight="1">
      <x:c r="A25" s="13"/>
      <x:c r="B25" s="13"/>
      <x:c r="C25" s="13"/>
      <x:c r="D25" s="13"/>
      <x:c r="E25" s="13"/>
      <x:c r="F25" s="13"/>
    </x:row>
    <x:row r="26" ht="15" hidden="0" customHeight="1">
      <x:c r="A26" s="13"/>
      <x:c r="B26" s="13"/>
      <x:c r="C26" s="13"/>
      <x:c r="D26" s="13"/>
      <x:c r="E26" s="13"/>
      <x:c r="F26" s="13"/>
    </x:row>
    <x:row r="27" ht="15" hidden="0" customHeight="1">
      <x:c r="A27" s="13"/>
      <x:c r="B27" s="13"/>
      <x:c r="C27" s="13"/>
      <x:c r="D27" s="13"/>
      <x:c r="E27" s="13"/>
      <x:c r="F27" s="13"/>
    </x:row>
    <x:row r="28" ht="15" hidden="0" customHeight="1">
      <x:c r="A28" s="13"/>
      <x:c r="B28" s="13"/>
      <x:c r="C28" s="13"/>
      <x:c r="D28" s="13"/>
      <x:c r="E28" s="13"/>
      <x:c r="F28" s="13"/>
    </x:row>
    <x:row r="29" ht="15" hidden="0" customHeight="1">
      <x:c r="A29" s="13"/>
      <x:c r="B29" s="13"/>
      <x:c r="C29" s="13"/>
      <x:c r="D29" s="13"/>
      <x:c r="E29" s="13"/>
      <x:c r="F29" s="13"/>
    </x:row>
    <x:row r="30" ht="15" hidden="0" customHeight="1">
      <x:c r="A30" s="13"/>
      <x:c r="B30" s="13"/>
      <x:c r="C30" s="13"/>
      <x:c r="D30" s="13"/>
      <x:c r="E30" s="13"/>
      <x:c r="F30" s="13"/>
    </x:row>
    <x:row r="31" ht="15" hidden="0" customHeight="1">
      <x:c r="A31" s="13"/>
      <x:c r="B31" s="13"/>
      <x:c r="C31" s="13"/>
      <x:c r="D31" s="13"/>
      <x:c r="E31" s="13"/>
      <x:c r="F31" s="13"/>
    </x:row>
    <x:row r="32" ht="15" hidden="0" customHeight="1">
      <x:c r="A32" s="13"/>
      <x:c r="B32" s="13"/>
      <x:c r="C32" s="13"/>
      <x:c r="D32" s="13"/>
      <x:c r="E32" s="13"/>
      <x:c r="F32" s="13"/>
    </x:row>
    <x:row r="33" ht="15" hidden="0" customHeight="1">
      <x:c r="A33" s="13"/>
      <x:c r="B33" s="13"/>
      <x:c r="C33" s="13"/>
      <x:c r="D33" s="13"/>
      <x:c r="E33" s="13"/>
      <x:c r="F33" s="13"/>
    </x:row>
    <x:row r="34" ht="15" hidden="0" customHeight="1">
      <x:c r="A34" s="13"/>
      <x:c r="B34" s="13"/>
      <x:c r="C34" s="13"/>
      <x:c r="D34" s="13"/>
      <x:c r="E34" s="13"/>
      <x:c r="F34" s="13"/>
    </x:row>
    <x:row r="35" ht="15" hidden="0" customHeight="1">
      <x:c r="A35" s="13"/>
      <x:c r="B35" s="13"/>
      <x:c r="C35" s="13"/>
      <x:c r="D35" s="13"/>
      <x:c r="E35" s="13"/>
      <x:c r="F35" s="13"/>
    </x:row>
    <x:row r="36" ht="15" hidden="0" customHeight="1">
      <x:c r="A36" s="13"/>
      <x:c r="B36" s="13"/>
      <x:c r="C36" s="13"/>
      <x:c r="D36" s="13"/>
      <x:c r="E36" s="13"/>
      <x:c r="F36" s="13"/>
    </x:row>
    <x:row r="37" ht="15" hidden="0" customHeight="1">
      <x:c r="A37" s="13"/>
      <x:c r="B37" s="13"/>
      <x:c r="C37" s="13"/>
      <x:c r="D37" s="13"/>
      <x:c r="E37" s="13"/>
      <x:c r="F37" s="13"/>
    </x:row>
    <x:row r="38" ht="15" hidden="0" customHeight="1">
      <x:c r="A38" s="13"/>
      <x:c r="B38" s="13"/>
      <x:c r="C38" s="13"/>
      <x:c r="D38" s="13"/>
      <x:c r="E38" s="13"/>
      <x:c r="F38" s="13"/>
    </x:row>
    <x:row r="39" ht="15" hidden="0" customHeight="1">
      <x:c r="A39" s="13"/>
      <x:c r="B39" s="13"/>
      <x:c r="C39" s="13"/>
      <x:c r="D39" s="13"/>
      <x:c r="E39" s="13"/>
      <x:c r="F39" s="13"/>
    </x:row>
    <x:row r="40" ht="15" hidden="0" customHeight="1">
      <x:c r="A40" s="13"/>
      <x:c r="B40" s="13"/>
      <x:c r="C40" s="13"/>
      <x:c r="D40" s="13"/>
      <x:c r="E40" s="13"/>
      <x:c r="F40" s="1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42" hidden="0" customWidth="1"/>
    <x:col min="5" max="5" width="11.630000114440918" hidden="0" customWidth="1"/>
    <x:col min="6" max="6" width="8.75" hidden="0" customWidth="1"/>
  </x:cols>
  <x:sheetData>
    <x:row r="1" ht="15" hidden="0" customHeight="1">
      <x:c r="A1" s="26" t="str">
        <x:v>Request</x:v>
      </x:c>
      <x:c r="B1" s="26" t="str">
        <x:v>Reserved tokens</x:v>
      </x:c>
      <x:c r="C1" s="26" t="str">
        <x:v>Allocated tokens</x:v>
      </x:c>
      <x:c r="D1" s="26" t="str">
        <x:v>Waste tokens</x:v>
      </x:c>
      <x:c r="E1" s="26" t="str">
        <x:v>Waste fraction</x:v>
      </x:c>
      <x:c r="F1" s="26" t="str">
        <x:v>Waste MiB</x:v>
      </x:c>
    </x:row>
    <x:row r="2" ht="15" hidden="0" customHeight="1">
      <x:c r="A2" s="13" t="n">
        <x:f>WORKLOAD!A2</x:f>
        <x:v>1</x:v>
      </x:c>
      <x:c r="B2" s="13" t="n">
        <x:f>WORKLOAD!D2</x:f>
        <x:v>1512</x:v>
      </x:c>
      <x:c r="C2" s="13" t="n">
        <x:f>MEMORY!$B$4*ROUNDUP(B2/MEMORY!$B$4,0)</x:f>
        <x:v>1520</x:v>
      </x:c>
      <x:c r="D2" s="13" t="n">
        <x:f>C2-B2</x:f>
        <x:v>8</x:v>
      </x:c>
      <x:c r="E2" s="32" t="n">
        <x:f>D2/B2</x:f>
        <x:v>0.005291005291005291</x:v>
      </x:c>
      <x:c r="F2" s="13" t="n">
        <x:f>D2*KV_FORMULA!$B$2/1048576</x:f>
        <x:v>2.5</x:v>
      </x:c>
    </x:row>
    <x:row r="3" ht="15" hidden="0" customHeight="1">
      <x:c r="A3" s="13" t="n">
        <x:f>WORKLOAD!A3</x:f>
        <x:v>2</x:v>
      </x:c>
      <x:c r="B3" s="13" t="n">
        <x:f>WORKLOAD!D3</x:f>
        <x:v>3070</x:v>
      </x:c>
      <x:c r="C3" s="13" t="n">
        <x:f>MEMORY!$B$4*ROUNDUP(B3/MEMORY!$B$4,0)</x:f>
        <x:v>3072</x:v>
      </x:c>
      <x:c r="D3" s="13" t="n">
        <x:f>C3-B3</x:f>
        <x:v>2</x:v>
      </x:c>
      <x:c r="E3" s="32" t="n">
        <x:f>D3/B3</x:f>
        <x:v>0.0006514657980456026</x:v>
      </x:c>
      <x:c r="F3" s="13" t="n">
        <x:f>D3*KV_FORMULA!$B$2/1048576</x:f>
        <x:v>0.625</x:v>
      </x:c>
    </x:row>
    <x:row r="4" ht="15" hidden="0" customHeight="1">
      <x:c r="A4" s="13" t="n">
        <x:f>WORKLOAD!A4</x:f>
        <x:v>3</x:v>
      </x:c>
      <x:c r="B4" s="13" t="n">
        <x:f>WORKLOAD!D4</x:f>
        <x:v>6146</x:v>
      </x:c>
      <x:c r="C4" s="13" t="n">
        <x:f>MEMORY!$B$4*ROUNDUP(B4/MEMORY!$B$4,0)</x:f>
        <x:v>6160</x:v>
      </x:c>
      <x:c r="D4" s="13" t="n">
        <x:f>C4-B4</x:f>
        <x:v>14</x:v>
      </x:c>
      <x:c r="E4" s="32" t="n">
        <x:f>D4/B4</x:f>
        <x:v>0.002277904328018223</x:v>
      </x:c>
      <x:c r="F4" s="13" t="n">
        <x:f>D4*KV_FORMULA!$B$2/1048576</x:f>
        <x:v>4.375</x:v>
      </x:c>
    </x:row>
    <x:row r="5" ht="15" hidden="0" customHeight="1">
      <x:c r="A5" s="13" t="n">
        <x:f>WORKLOAD!A5</x:f>
        <x:v>4</x:v>
      </x:c>
      <x:c r="B5" s="13" t="n">
        <x:f>WORKLOAD!D5</x:f>
        <x:v>12286</x:v>
      </x:c>
      <x:c r="C5" s="13" t="n">
        <x:f>MEMORY!$B$4*ROUNDUP(B5/MEMORY!$B$4,0)</x:f>
        <x:v>12288</x:v>
      </x:c>
      <x:c r="D5" s="13" t="n">
        <x:f>C5-B5</x:f>
        <x:v>2</x:v>
      </x:c>
      <x:c r="E5" s="32" t="n">
        <x:f>D5/B5</x:f>
        <x:v>0.00016278691193228064</x:v>
      </x:c>
      <x:c r="F5" s="13" t="n">
        <x:f>D5*KV_FORMULA!$B$2/1048576</x:f>
        <x:v>0.625</x:v>
      </x:c>
    </x:row>
    <x:row r="6" ht="15" hidden="0" customHeight="1">
      <x:c r="A6" s="13" t="n">
        <x:f>WORKLOAD!A6</x:f>
        <x:v>5</x:v>
      </x:c>
      <x:c r="B6" s="13" t="n">
        <x:f>WORKLOAD!D6</x:f>
        <x:v>15076</x:v>
      </x:c>
      <x:c r="C6" s="13" t="n">
        <x:f>MEMORY!$B$4*ROUNDUP(B6/MEMORY!$B$4,0)</x:f>
        <x:v>15088</x:v>
      </x:c>
      <x:c r="D6" s="13" t="n">
        <x:f>C6-B6</x:f>
        <x:v>12</x:v>
      </x:c>
      <x:c r="E6" s="32" t="n">
        <x:f>D6/B6</x:f>
        <x:v>0.0007959671000265323</x:v>
      </x:c>
      <x:c r="F6" s="13" t="n">
        <x:f>D6*KV_FORMULA!$B$2/1048576</x:f>
        <x:v>3.75</x:v>
      </x:c>
    </x:row>
    <x:row r="7" ht="15" hidden="0" customHeight="1">
      <x:c r="A7" s="13" t="n">
        <x:f>WORKLOAD!A7</x:f>
        <x:v>6</x:v>
      </x:c>
      <x:c r="B7" s="13" t="n">
        <x:f>WORKLOAD!D7</x:f>
        <x:v>34816</x:v>
      </x:c>
      <x:c r="C7" s="13" t="n">
        <x:f>MEMORY!$B$4*ROUNDUP(B7/MEMORY!$B$4,0)</x:f>
        <x:v>34816</x:v>
      </x:c>
      <x:c r="D7" s="13" t="n">
        <x:f>C7-B7</x:f>
        <x:v>0</x:v>
      </x:c>
      <x:c r="E7" s="32" t="n">
        <x:f>D7/B7</x:f>
        <x:v>0</x:v>
      </x:c>
      <x:c r="F7" s="13" t="n">
        <x:f>D7*KV_FORMULA!$B$2/1048576</x:f>
        <x:v>0</x:v>
      </x:c>
    </x:row>
    <x:row r="8" ht="15" hidden="0" customHeight="1">
      <x:c r="A8" s="13" t="n">
        <x:f>WORKLOAD!A8</x:f>
        <x:v>7</x:v>
      </x:c>
      <x:c r="B8" s="13" t="n">
        <x:f>WORKLOAD!D8</x:f>
        <x:v>133120</x:v>
      </x:c>
      <x:c r="C8" s="13" t="n">
        <x:f>MEMORY!$B$4*ROUNDUP(B8/MEMORY!$B$4,0)</x:f>
        <x:v>133120</x:v>
      </x:c>
      <x:c r="D8" s="13" t="n">
        <x:f>C8-B8</x:f>
        <x:v>0</x:v>
      </x:c>
      <x:c r="E8" s="32" t="n">
        <x:f>D8/B8</x:f>
        <x:v>0</x:v>
      </x:c>
      <x:c r="F8" s="13" t="n">
        <x:f>D8*KV_FORMULA!$B$2/1048576</x:f>
        <x:v>0</x:v>
      </x:c>
    </x:row>
    <x:row r="9" ht="15" hidden="0" customHeight="1">
      <x:c r="A9" s="13"/>
      <x:c r="B9" s="13"/>
      <x:c r="C9" s="13"/>
      <x:c r="D9" s="13"/>
      <x:c r="E9" s="13"/>
      <x:c r="F9" s="13"/>
    </x:row>
    <x:row r="10" ht="15" hidden="0" customHeight="1">
      <x:c r="A10" s="13"/>
      <x:c r="B10" s="13"/>
      <x:c r="C10" s="13"/>
      <x:c r="D10" s="13"/>
      <x:c r="E10" s="13"/>
      <x:c r="F10" s="13"/>
    </x:row>
    <x:row r="11" ht="15" hidden="0" customHeight="1">
      <x:c r="A11" s="13"/>
      <x:c r="B11" s="13"/>
      <x:c r="C11" s="13"/>
      <x:c r="D11" s="13"/>
      <x:c r="E11" s="13"/>
      <x:c r="F11" s="13"/>
    </x:row>
    <x:row r="12" ht="15" hidden="0" customHeight="1">
      <x:c r="A12" s="13"/>
      <x:c r="B12" s="13"/>
      <x:c r="C12" s="13"/>
      <x:c r="D12" s="13"/>
      <x:c r="E12" s="13"/>
      <x:c r="F12" s="13"/>
    </x:row>
    <x:row r="13" ht="15" hidden="0" customHeight="1">
      <x:c r="A13" s="13"/>
      <x:c r="B13" s="13"/>
      <x:c r="C13" s="13"/>
      <x:c r="D13" s="13"/>
      <x:c r="E13" s="13"/>
      <x:c r="F13" s="13"/>
    </x:row>
    <x:row r="14" ht="15" hidden="0" customHeight="1">
      <x:c r="A14" s="13"/>
      <x:c r="B14" s="13"/>
      <x:c r="C14" s="13"/>
      <x:c r="D14" s="13"/>
      <x:c r="E14" s="13"/>
      <x:c r="F14" s="13"/>
    </x:row>
    <x:row r="15" ht="15" hidden="0" customHeight="1">
      <x:c r="A15" s="13"/>
      <x:c r="B15" s="13"/>
      <x:c r="C15" s="13"/>
      <x:c r="D15" s="13"/>
      <x:c r="E15" s="13"/>
      <x:c r="F15" s="13"/>
    </x:row>
    <x:row r="16" ht="15" hidden="0" customHeight="1">
      <x:c r="A16" s="13"/>
      <x:c r="B16" s="13"/>
      <x:c r="C16" s="13"/>
      <x:c r="D16" s="13"/>
      <x:c r="E16" s="13"/>
      <x:c r="F16" s="13"/>
    </x:row>
    <x:row r="17" ht="15" hidden="0" customHeight="1">
      <x:c r="A17" s="13"/>
      <x:c r="B17" s="13"/>
      <x:c r="C17" s="13"/>
      <x:c r="D17" s="13"/>
      <x:c r="E17" s="13"/>
      <x:c r="F17" s="13"/>
    </x:row>
    <x:row r="18" ht="15" hidden="0" customHeight="1">
      <x:c r="A18" s="13"/>
      <x:c r="B18" s="13"/>
      <x:c r="C18" s="13"/>
      <x:c r="D18" s="13"/>
      <x:c r="E18" s="13"/>
      <x:c r="F18" s="13"/>
    </x:row>
    <x:row r="19" ht="15" hidden="0" customHeight="1">
      <x:c r="A19" s="13"/>
      <x:c r="B19" s="13"/>
      <x:c r="C19" s="13"/>
      <x:c r="D19" s="13"/>
      <x:c r="E19" s="13"/>
      <x:c r="F19" s="13"/>
    </x:row>
    <x:row r="20" ht="15" hidden="0" customHeight="1">
      <x:c r="A20" s="13"/>
      <x:c r="B20" s="13"/>
      <x:c r="C20" s="13"/>
      <x:c r="D20" s="13"/>
      <x:c r="E20" s="13"/>
      <x:c r="F20" s="13"/>
    </x:row>
    <x:row r="21" ht="15" hidden="0" customHeight="1">
      <x:c r="A21" s="13"/>
      <x:c r="B21" s="13"/>
      <x:c r="C21" s="13"/>
      <x:c r="D21" s="13"/>
      <x:c r="E21" s="13"/>
      <x:c r="F21" s="13"/>
    </x:row>
    <x:row r="22" ht="15" hidden="0" customHeight="1">
      <x:c r="A22" s="13"/>
      <x:c r="B22" s="13"/>
      <x:c r="C22" s="13"/>
      <x:c r="D22" s="13"/>
      <x:c r="E22" s="13"/>
      <x:c r="F22" s="13"/>
    </x:row>
    <x:row r="23" ht="15" hidden="0" customHeight="1">
      <x:c r="A23" s="13"/>
      <x:c r="B23" s="13"/>
      <x:c r="C23" s="13"/>
      <x:c r="D23" s="13"/>
      <x:c r="E23" s="13"/>
      <x:c r="F23" s="13"/>
    </x:row>
    <x:row r="24" ht="15" hidden="0" customHeight="1">
      <x:c r="A24" s="13"/>
      <x:c r="B24" s="13"/>
      <x:c r="C24" s="13"/>
      <x:c r="D24" s="13"/>
      <x:c r="E24" s="13"/>
      <x:c r="F24" s="13"/>
    </x:row>
    <x:row r="25" ht="15" hidden="0" customHeight="1">
      <x:c r="A25" s="13"/>
      <x:c r="B25" s="13"/>
      <x:c r="C25" s="13"/>
      <x:c r="D25" s="13"/>
      <x:c r="E25" s="13"/>
      <x:c r="F25" s="13"/>
    </x:row>
    <x:row r="26" ht="15" hidden="0" customHeight="1">
      <x:c r="A26" s="13"/>
      <x:c r="B26" s="13"/>
      <x:c r="C26" s="13"/>
      <x:c r="D26" s="13"/>
      <x:c r="E26" s="13"/>
      <x:c r="F26" s="13"/>
    </x:row>
    <x:row r="27" ht="15" hidden="0" customHeight="1">
      <x:c r="A27" s="13"/>
      <x:c r="B27" s="13"/>
      <x:c r="C27" s="13"/>
      <x:c r="D27" s="13"/>
      <x:c r="E27" s="13"/>
      <x:c r="F27" s="13"/>
    </x:row>
    <x:row r="28" ht="15" hidden="0" customHeight="1">
      <x:c r="A28" s="13"/>
      <x:c r="B28" s="13"/>
      <x:c r="C28" s="13"/>
      <x:c r="D28" s="13"/>
      <x:c r="E28" s="13"/>
      <x:c r="F28" s="13"/>
    </x:row>
    <x:row r="29" ht="15" hidden="0" customHeight="1">
      <x:c r="A29" s="13"/>
      <x:c r="B29" s="13"/>
      <x:c r="C29" s="13"/>
      <x:c r="D29" s="13"/>
      <x:c r="E29" s="13"/>
      <x:c r="F29" s="13"/>
    </x:row>
    <x:row r="30" ht="15" hidden="0" customHeight="1">
      <x:c r="A30" s="13"/>
      <x:c r="B30" s="13"/>
      <x:c r="C30" s="13"/>
      <x:c r="D30" s="13"/>
      <x:c r="E30" s="13"/>
      <x:c r="F30" s="13"/>
    </x:row>
    <x:row r="31" ht="15" hidden="0" customHeight="1">
      <x:c r="A31" s="13"/>
      <x:c r="B31" s="13"/>
      <x:c r="C31" s="13"/>
      <x:c r="D31" s="13"/>
      <x:c r="E31" s="13"/>
      <x:c r="F31" s="13"/>
    </x:row>
    <x:row r="32" ht="15" hidden="0" customHeight="1">
      <x:c r="A32" s="13"/>
      <x:c r="B32" s="13"/>
      <x:c r="C32" s="13"/>
      <x:c r="D32" s="13"/>
      <x:c r="E32" s="13"/>
      <x:c r="F32" s="13"/>
    </x:row>
    <x:row r="33" ht="15" hidden="0" customHeight="1">
      <x:c r="A33" s="13"/>
      <x:c r="B33" s="13"/>
      <x:c r="C33" s="13"/>
      <x:c r="D33" s="13"/>
      <x:c r="E33" s="13"/>
      <x:c r="F33" s="13"/>
    </x:row>
    <x:row r="34" ht="15" hidden="0" customHeight="1">
      <x:c r="A34" s="13"/>
      <x:c r="B34" s="13"/>
      <x:c r="C34" s="13"/>
      <x:c r="D34" s="13"/>
      <x:c r="E34" s="13"/>
      <x:c r="F34" s="13"/>
    </x:row>
    <x:row r="35" ht="15" hidden="0" customHeight="1">
      <x:c r="A35" s="13"/>
      <x:c r="B35" s="13"/>
      <x:c r="C35" s="13"/>
      <x:c r="D35" s="13"/>
      <x:c r="E35" s="13"/>
      <x:c r="F35" s="13"/>
    </x:row>
    <x:row r="36" ht="15" hidden="0" customHeight="1">
      <x:c r="A36" s="13"/>
      <x:c r="B36" s="13"/>
      <x:c r="C36" s="13"/>
      <x:c r="D36" s="13"/>
      <x:c r="E36" s="13"/>
      <x:c r="F36" s="13"/>
    </x:row>
    <x:row r="37" ht="15" hidden="0" customHeight="1">
      <x:c r="A37" s="13"/>
      <x:c r="B37" s="13"/>
      <x:c r="C37" s="13"/>
      <x:c r="D37" s="13"/>
      <x:c r="E37" s="13"/>
      <x:c r="F37" s="13"/>
    </x:row>
    <x:row r="38" ht="15" hidden="0" customHeight="1">
      <x:c r="A38" s="13"/>
      <x:c r="B38" s="13"/>
      <x:c r="C38" s="13"/>
      <x:c r="D38" s="13"/>
      <x:c r="E38" s="13"/>
      <x:c r="F38" s="13"/>
    </x:row>
    <x:row r="39" ht="15" hidden="0" customHeight="1">
      <x:c r="A39" s="13"/>
      <x:c r="B39" s="13"/>
      <x:c r="C39" s="13"/>
      <x:c r="D39" s="13"/>
      <x:c r="E39" s="13"/>
      <x:c r="F39" s="13"/>
    </x:row>
    <x:row r="40" ht="15" hidden="0" customHeight="1">
      <x:c r="A40" s="13"/>
      <x:c r="B40" s="13"/>
      <x:c r="C40" s="13"/>
      <x:c r="D40" s="13"/>
      <x:c r="E40" s="13"/>
      <x:c r="F40" s="1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42" hidden="0" customWidth="1"/>
    <x:col min="5" max="5" width="17.25" hidden="0" customWidth="1"/>
    <x:col min="6" max="6" width="21.75" hidden="0" customWidth="1"/>
  </x:cols>
  <x:sheetData>
    <x:row r="1" ht="15" hidden="0" customHeight="1">
      <x:c r="A1" s="26" t="str">
        <x:v>Reserved tokens/seq</x:v>
      </x:c>
      <x:c r="B1" s="26" t="str">
        <x:v>BF16 GQA ideal</x:v>
      </x:c>
      <x:c r="C1" s="26" t="str">
        <x:v>FP8 GQA scenario</x:v>
      </x:c>
      <x:c r="D1" s="26" t="str">
        <x:v>BF16 MHA hypothetical</x:v>
      </x:c>
      <x:c r="E1" s="26" t="str">
        <x:v>BF16 + output reserve</x:v>
      </x:c>
      <x:c r="F1" s="26" t="str">
        <x:v>Runtime token-cap override</x:v>
      </x:c>
    </x:row>
    <x:row r="2" ht="15" hidden="0" customHeight="1">
      <x:c r="A2" s="13" t="n">
        <x:v>4096</x:v>
      </x:c>
      <x:c r="B2" s="13" t="n">
        <x:f>INT(MEMORY!$B$9/(A2*KV_FORMULA!$B$2))</x:f>
        <x:v>64</x:v>
      </x:c>
      <x:c r="C2" s="13" t="n">
        <x:f>INT(MEMORY!$B$9/(A2*KV_FORMULA!$B$6))</x:f>
        <x:v>128</x:v>
      </x:c>
      <x:c r="D2" s="13" t="n">
        <x:f>INT(MEMORY!$B$9/(A2*KV_FORMULA!$B$5))</x:f>
        <x:v>8</x:v>
      </x:c>
      <x:c r="E2" s="13" t="n">
        <x:f>INT(MEMORY!$B$9/((A2+MEMORY!$B$5)*KV_FORMULA!$B$2))</x:f>
        <x:v>42</x:v>
      </x:c>
      <x:c r="F2" s="13" t="n">
        <x:f>IF(MEMORY!$B$6&gt;0,INT(MEMORY!$B$6/A2),0)</x:f>
        <x:v>0</x:v>
      </x:c>
    </x:row>
    <x:row r="3" ht="15" hidden="0" customHeight="1">
      <x:c r="A3" s="13" t="n">
        <x:v>8192</x:v>
      </x:c>
      <x:c r="B3" s="13" t="n">
        <x:f>INT(MEMORY!$B$9/(A3*KV_FORMULA!$B$2))</x:f>
        <x:v>32</x:v>
      </x:c>
      <x:c r="C3" s="13" t="n">
        <x:f>INT(MEMORY!$B$9/(A3*KV_FORMULA!$B$6))</x:f>
        <x:v>64</x:v>
      </x:c>
      <x:c r="D3" s="13" t="n">
        <x:f>INT(MEMORY!$B$9/(A3*KV_FORMULA!$B$5))</x:f>
        <x:v>4</x:v>
      </x:c>
      <x:c r="E3" s="13" t="n">
        <x:f>INT(MEMORY!$B$9/((A3+MEMORY!$B$5)*KV_FORMULA!$B$2))</x:f>
        <x:v>25</x:v>
      </x:c>
      <x:c r="F3" s="13" t="n">
        <x:f>IF(MEMORY!$B$6&gt;0,INT(MEMORY!$B$6/A3),0)</x:f>
        <x:v>0</x:v>
      </x:c>
    </x:row>
    <x:row r="4" ht="15" hidden="0" customHeight="1">
      <x:c r="A4" s="13" t="n">
        <x:v>16384</x:v>
      </x:c>
      <x:c r="B4" s="13" t="n">
        <x:f>INT(MEMORY!$B$9/(A4*KV_FORMULA!$B$2))</x:f>
        <x:v>16</x:v>
      </x:c>
      <x:c r="C4" s="13" t="n">
        <x:f>INT(MEMORY!$B$9/(A4*KV_FORMULA!$B$6))</x:f>
        <x:v>32</x:v>
      </x:c>
      <x:c r="D4" s="13" t="n">
        <x:f>INT(MEMORY!$B$9/(A4*KV_FORMULA!$B$5))</x:f>
        <x:v>2</x:v>
      </x:c>
      <x:c r="E4" s="13" t="n">
        <x:f>INT(MEMORY!$B$9/((A4+MEMORY!$B$5)*KV_FORMULA!$B$2))</x:f>
        <x:v>14</x:v>
      </x:c>
      <x:c r="F4" s="13" t="n">
        <x:f>IF(MEMORY!$B$6&gt;0,INT(MEMORY!$B$6/A4),0)</x:f>
        <x:v>0</x:v>
      </x:c>
    </x:row>
    <x:row r="5" ht="15" hidden="0" customHeight="1">
      <x:c r="A5" s="13" t="n">
        <x:v>32768</x:v>
      </x:c>
      <x:c r="B5" s="13" t="n">
        <x:f>INT(MEMORY!$B$9/(A5*KV_FORMULA!$B$2))</x:f>
        <x:v>8</x:v>
      </x:c>
      <x:c r="C5" s="13" t="n">
        <x:f>INT(MEMORY!$B$9/(A5*KV_FORMULA!$B$6))</x:f>
        <x:v>16</x:v>
      </x:c>
      <x:c r="D5" s="13" t="n">
        <x:f>INT(MEMORY!$B$9/(A5*KV_FORMULA!$B$5))</x:f>
        <x:v>1</x:v>
      </x:c>
      <x:c r="E5" s="13" t="n">
        <x:f>INT(MEMORY!$B$9/((A5+MEMORY!$B$5)*KV_FORMULA!$B$2))</x:f>
        <x:v>7</x:v>
      </x:c>
      <x:c r="F5" s="13" t="n">
        <x:f>IF(MEMORY!$B$6&gt;0,INT(MEMORY!$B$6/A5),0)</x:f>
        <x:v>0</x:v>
      </x:c>
    </x:row>
    <x:row r="6" ht="15" hidden="0" customHeight="1">
      <x:c r="A6" s="13" t="n">
        <x:v>65536</x:v>
      </x:c>
      <x:c r="B6" s="13" t="n">
        <x:f>INT(MEMORY!$B$9/(A6*KV_FORMULA!$B$2))</x:f>
        <x:v>4</x:v>
      </x:c>
      <x:c r="C6" s="13" t="n">
        <x:f>INT(MEMORY!$B$9/(A6*KV_FORMULA!$B$6))</x:f>
        <x:v>8</x:v>
      </x:c>
      <x:c r="D6" s="13" t="n">
        <x:f>INT(MEMORY!$B$9/(A6*KV_FORMULA!$B$5))</x:f>
        <x:v>0</x:v>
      </x:c>
      <x:c r="E6" s="13" t="n">
        <x:f>INT(MEMORY!$B$9/((A6+MEMORY!$B$5)*KV_FORMULA!$B$2))</x:f>
        <x:v>3</x:v>
      </x:c>
      <x:c r="F6" s="13" t="n">
        <x:f>IF(MEMORY!$B$6&gt;0,INT(MEMORY!$B$6/A6),0)</x:f>
        <x:v>0</x:v>
      </x:c>
    </x:row>
    <x:row r="7" ht="15" hidden="0" customHeight="1">
      <x:c r="A7" s="13" t="n">
        <x:v>131072</x:v>
      </x:c>
      <x:c r="B7" s="13" t="n">
        <x:f>INT(MEMORY!$B$9/(A7*KV_FORMULA!$B$2))</x:f>
        <x:v>2</x:v>
      </x:c>
      <x:c r="C7" s="13" t="n">
        <x:f>INT(MEMORY!$B$9/(A7*KV_FORMULA!$B$6))</x:f>
        <x:v>4</x:v>
      </x:c>
      <x:c r="D7" s="13" t="n">
        <x:f>INT(MEMORY!$B$9/(A7*KV_FORMULA!$B$5))</x:f>
        <x:v>0</x:v>
      </x:c>
      <x:c r="E7" s="13" t="n">
        <x:f>INT(MEMORY!$B$9/((A7+MEMORY!$B$5)*KV_FORMULA!$B$2))</x:f>
        <x:v>1</x:v>
      </x:c>
      <x:c r="F7" s="13" t="n">
        <x:f>IF(MEMORY!$B$6&gt;0,INT(MEMORY!$B$6/A7),0)</x:f>
        <x:v>0</x:v>
      </x:c>
    </x:row>
    <x:row r="8" ht="15" hidden="0" customHeight="1">
      <x:c r="A8" s="13"/>
      <x:c r="B8" s="13"/>
      <x:c r="C8" s="13"/>
      <x:c r="D8" s="13"/>
      <x:c r="E8" s="13"/>
      <x:c r="F8" s="13"/>
    </x:row>
    <x:row r="9" ht="15" hidden="0" customHeight="1">
      <x:c r="A9" s="13"/>
      <x:c r="B9" s="13"/>
      <x:c r="C9" s="13"/>
      <x:c r="D9" s="13"/>
      <x:c r="E9" s="13"/>
      <x:c r="F9" s="13"/>
    </x:row>
    <x:row r="10" ht="15" hidden="0" customHeight="1">
      <x:c r="A10" s="13"/>
      <x:c r="B10" s="13"/>
      <x:c r="C10" s="13"/>
      <x:c r="D10" s="13"/>
      <x:c r="E10" s="13"/>
      <x:c r="F10" s="13"/>
    </x:row>
    <x:row r="11" ht="15" hidden="0" customHeight="1">
      <x:c r="A11" s="13"/>
      <x:c r="B11" s="13"/>
      <x:c r="C11" s="13"/>
      <x:c r="D11" s="13"/>
      <x:c r="E11" s="13"/>
      <x:c r="F11" s="13"/>
    </x:row>
    <x:row r="12" ht="15" hidden="0" customHeight="1">
      <x:c r="A12" s="13"/>
      <x:c r="B12" s="13"/>
      <x:c r="C12" s="13"/>
      <x:c r="D12" s="13"/>
      <x:c r="E12" s="13"/>
      <x:c r="F12" s="13"/>
    </x:row>
    <x:row r="13" ht="15" hidden="0" customHeight="1">
      <x:c r="A13" s="13"/>
      <x:c r="B13" s="13"/>
      <x:c r="C13" s="13"/>
      <x:c r="D13" s="13"/>
      <x:c r="E13" s="13"/>
      <x:c r="F13" s="13"/>
    </x:row>
    <x:row r="14" ht="15" hidden="0" customHeight="1">
      <x:c r="A14" s="13"/>
      <x:c r="B14" s="13"/>
      <x:c r="C14" s="13"/>
      <x:c r="D14" s="13"/>
      <x:c r="E14" s="13"/>
      <x:c r="F14" s="13"/>
    </x:row>
    <x:row r="15" ht="15" hidden="0" customHeight="1">
      <x:c r="A15" s="13"/>
      <x:c r="B15" s="13"/>
      <x:c r="C15" s="13"/>
      <x:c r="D15" s="13"/>
      <x:c r="E15" s="13"/>
      <x:c r="F15" s="13"/>
    </x:row>
    <x:row r="16" ht="15" hidden="0" customHeight="1">
      <x:c r="A16" s="13"/>
      <x:c r="B16" s="13"/>
      <x:c r="C16" s="13"/>
      <x:c r="D16" s="13"/>
      <x:c r="E16" s="13"/>
      <x:c r="F16" s="13"/>
    </x:row>
    <x:row r="17" ht="15" hidden="0" customHeight="1">
      <x:c r="A17" s="13"/>
      <x:c r="B17" s="13"/>
      <x:c r="C17" s="13"/>
      <x:c r="D17" s="13"/>
      <x:c r="E17" s="13"/>
      <x:c r="F17" s="13"/>
    </x:row>
    <x:row r="18" ht="15" hidden="0" customHeight="1">
      <x:c r="A18" s="13"/>
      <x:c r="B18" s="13"/>
      <x:c r="C18" s="13"/>
      <x:c r="D18" s="13"/>
      <x:c r="E18" s="13"/>
      <x:c r="F18" s="13"/>
    </x:row>
    <x:row r="19" ht="15" hidden="0" customHeight="1">
      <x:c r="A19" s="13"/>
      <x:c r="B19" s="13"/>
      <x:c r="C19" s="13"/>
      <x:c r="D19" s="13"/>
      <x:c r="E19" s="13"/>
      <x:c r="F19" s="13"/>
    </x:row>
    <x:row r="20" ht="15" hidden="0" customHeight="1">
      <x:c r="A20" s="13"/>
      <x:c r="B20" s="13"/>
      <x:c r="C20" s="13"/>
      <x:c r="D20" s="13"/>
      <x:c r="E20" s="13"/>
      <x:c r="F20" s="13"/>
    </x:row>
    <x:row r="21" ht="15" hidden="0" customHeight="1">
      <x:c r="A21" s="13"/>
      <x:c r="B21" s="13"/>
      <x:c r="C21" s="13"/>
      <x:c r="D21" s="13"/>
      <x:c r="E21" s="13"/>
      <x:c r="F21" s="13"/>
    </x:row>
    <x:row r="22" ht="15" hidden="0" customHeight="1">
      <x:c r="A22" s="13"/>
      <x:c r="B22" s="13"/>
      <x:c r="C22" s="13"/>
      <x:c r="D22" s="13"/>
      <x:c r="E22" s="13"/>
      <x:c r="F22" s="13"/>
    </x:row>
    <x:row r="23" ht="15" hidden="0" customHeight="1">
      <x:c r="A23" s="13"/>
      <x:c r="B23" s="13"/>
      <x:c r="C23" s="13"/>
      <x:c r="D23" s="13"/>
      <x:c r="E23" s="13"/>
      <x:c r="F23" s="13"/>
    </x:row>
    <x:row r="24" ht="15" hidden="0" customHeight="1">
      <x:c r="A24" s="13"/>
      <x:c r="B24" s="13"/>
      <x:c r="C24" s="13"/>
      <x:c r="D24" s="13"/>
      <x:c r="E24" s="13"/>
      <x:c r="F24" s="13"/>
    </x:row>
    <x:row r="25" ht="15" hidden="0" customHeight="1">
      <x:c r="A25" s="13"/>
      <x:c r="B25" s="13"/>
      <x:c r="C25" s="13"/>
      <x:c r="D25" s="13"/>
      <x:c r="E25" s="13"/>
      <x:c r="F25" s="13"/>
    </x:row>
    <x:row r="26" ht="15" hidden="0" customHeight="1">
      <x:c r="A26" s="13"/>
      <x:c r="B26" s="13"/>
      <x:c r="C26" s="13"/>
      <x:c r="D26" s="13"/>
      <x:c r="E26" s="13"/>
      <x:c r="F26" s="13"/>
    </x:row>
    <x:row r="27" ht="15" hidden="0" customHeight="1">
      <x:c r="A27" s="13"/>
      <x:c r="B27" s="13"/>
      <x:c r="C27" s="13"/>
      <x:c r="D27" s="13"/>
      <x:c r="E27" s="13"/>
      <x:c r="F27" s="13"/>
    </x:row>
    <x:row r="28" ht="15" hidden="0" customHeight="1">
      <x:c r="A28" s="13"/>
      <x:c r="B28" s="13"/>
      <x:c r="C28" s="13"/>
      <x:c r="D28" s="13"/>
      <x:c r="E28" s="13"/>
      <x:c r="F28" s="13"/>
    </x:row>
    <x:row r="29" ht="15" hidden="0" customHeight="1">
      <x:c r="A29" s="13"/>
      <x:c r="B29" s="13"/>
      <x:c r="C29" s="13"/>
      <x:c r="D29" s="13"/>
      <x:c r="E29" s="13"/>
      <x:c r="F29" s="13"/>
    </x:row>
    <x:row r="30" ht="15" hidden="0" customHeight="1">
      <x:c r="A30" s="13"/>
      <x:c r="B30" s="13"/>
      <x:c r="C30" s="13"/>
      <x:c r="D30" s="13"/>
      <x:c r="E30" s="13"/>
      <x:c r="F30" s="13"/>
    </x:row>
    <x:row r="31" ht="15" hidden="0" customHeight="1">
      <x:c r="A31" s="13"/>
      <x:c r="B31" s="13"/>
      <x:c r="C31" s="13"/>
      <x:c r="D31" s="13"/>
      <x:c r="E31" s="13"/>
      <x:c r="F31" s="13"/>
    </x:row>
    <x:row r="32" ht="15" hidden="0" customHeight="1">
      <x:c r="A32" s="13"/>
      <x:c r="B32" s="13"/>
      <x:c r="C32" s="13"/>
      <x:c r="D32" s="13"/>
      <x:c r="E32" s="13"/>
      <x:c r="F32" s="13"/>
    </x:row>
    <x:row r="33" ht="15" hidden="0" customHeight="1">
      <x:c r="A33" s="13"/>
      <x:c r="B33" s="13"/>
      <x:c r="C33" s="13"/>
      <x:c r="D33" s="13"/>
      <x:c r="E33" s="13"/>
      <x:c r="F33" s="13"/>
    </x:row>
    <x:row r="34" ht="15" hidden="0" customHeight="1">
      <x:c r="A34" s="13"/>
      <x:c r="B34" s="13"/>
      <x:c r="C34" s="13"/>
      <x:c r="D34" s="13"/>
      <x:c r="E34" s="13"/>
      <x:c r="F34" s="13"/>
    </x:row>
    <x:row r="35" ht="15" hidden="0" customHeight="1">
      <x:c r="A35" s="13"/>
      <x:c r="B35" s="13"/>
      <x:c r="C35" s="13"/>
      <x:c r="D35" s="13"/>
      <x:c r="E35" s="13"/>
      <x:c r="F35" s="13"/>
    </x:row>
    <x:row r="36" ht="15" hidden="0" customHeight="1">
      <x:c r="A36" s="13"/>
      <x:c r="B36" s="13"/>
      <x:c r="C36" s="13"/>
      <x:c r="D36" s="13"/>
      <x:c r="E36" s="13"/>
      <x:c r="F36" s="13"/>
    </x:row>
    <x:row r="37" ht="15" hidden="0" customHeight="1">
      <x:c r="A37" s="13"/>
      <x:c r="B37" s="13"/>
      <x:c r="C37" s="13"/>
      <x:c r="D37" s="13"/>
      <x:c r="E37" s="13"/>
      <x:c r="F37" s="13"/>
    </x:row>
    <x:row r="38" ht="15" hidden="0" customHeight="1">
      <x:c r="A38" s="13"/>
      <x:c r="B38" s="13"/>
      <x:c r="C38" s="13"/>
      <x:c r="D38" s="13"/>
      <x:c r="E38" s="13"/>
      <x:c r="F38" s="13"/>
    </x:row>
    <x:row r="39" ht="15" hidden="0" customHeight="1">
      <x:c r="A39" s="13"/>
      <x:c r="B39" s="13"/>
      <x:c r="C39" s="13"/>
      <x:c r="D39" s="13"/>
      <x:c r="E39" s="13"/>
      <x:c r="F39" s="13"/>
    </x:row>
    <x:row r="40" ht="15" hidden="0" customHeight="1">
      <x:c r="A40" s="13"/>
      <x:c r="B40" s="13"/>
      <x:c r="C40" s="13"/>
      <x:c r="D40" s="13"/>
      <x:c r="E40" s="13"/>
      <x:c r="F40" s="1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42" hidden="0" customWidth="1"/>
  </x:cols>
  <x:sheetData>
    <x:row r="1" ht="15" hidden="0" customHeight="1">
      <x:c r="A1" s="26" t="str">
        <x:v>Input / output</x:v>
      </x:c>
      <x:c r="B1" s="26" t="str">
        <x:v>Value</x:v>
      </x:c>
      <x:c r="C1" s="26" t="str">
        <x:v>Unit</x:v>
      </x:c>
      <x:c r="D1" s="26" t="str">
        <x:v>Classification</x:v>
      </x:c>
      <x:c r="E1" s="13"/>
      <x:c r="F1" s="13"/>
    </x:row>
    <x:row r="2" ht="15" hidden="0" customHeight="1">
      <x:c r="A2" s="13" t="str">
        <x:v>Requests</x:v>
      </x:c>
      <x:c r="B2" s="28" t="n">
        <x:v>16</x:v>
      </x:c>
      <x:c r="C2" s="13" t="str">
        <x:v>requests</x:v>
      </x:c>
      <x:c r="D2" s="13" t="str">
        <x:v>SCENARIO</x:v>
      </x:c>
      <x:c r="E2" s="13"/>
      <x:c r="F2" s="13"/>
    </x:row>
    <x:row r="3" ht="15" hidden="0" customHeight="1">
      <x:c r="A3" s="13" t="str">
        <x:v>Shared prefix</x:v>
      </x:c>
      <x:c r="B3" s="28" t="n">
        <x:v>4096</x:v>
      </x:c>
      <x:c r="C3" s="13" t="str">
        <x:v>tokens</x:v>
      </x:c>
      <x:c r="D3" s="13" t="str">
        <x:v>SCENARIO</x:v>
      </x:c>
      <x:c r="E3" s="13"/>
      <x:c r="F3" s="13"/>
    </x:row>
    <x:row r="4" ht="15" hidden="0" customHeight="1">
      <x:c r="A4" s="13" t="str">
        <x:v>Unique tokens/request</x:v>
      </x:c>
      <x:c r="B4" s="28" t="n">
        <x:v>2048</x:v>
      </x:c>
      <x:c r="C4" s="13" t="str">
        <x:v>tokens</x:v>
      </x:c>
      <x:c r="D4" s="13" t="str">
        <x:v>SCENARIO</x:v>
      </x:c>
      <x:c r="E4" s="13"/>
      <x:c r="F4" s="13"/>
    </x:row>
    <x:row r="5" ht="15" hidden="0" customHeight="1">
      <x:c r="A5" s="13" t="str">
        <x:v>No-share physical token slots</x:v>
      </x:c>
      <x:c r="B5" s="13" t="n">
        <x:f>B2*(B3+B4)</x:f>
        <x:v>98304</x:v>
      </x:c>
      <x:c r="C5" s="13" t="str">
        <x:v>tokens</x:v>
      </x:c>
      <x:c r="D5" s="13" t="str">
        <x:v>CALCULATION</x:v>
      </x:c>
      <x:c r="E5" s="13"/>
      <x:c r="F5" s="13"/>
    </x:row>
    <x:row r="6" ht="15" hidden="0" customHeight="1">
      <x:c r="A6" s="13" t="str">
        <x:v>Shared physical token slots</x:v>
      </x:c>
      <x:c r="B6" s="13" t="n">
        <x:f>B3+B2*B4</x:f>
        <x:v>36864</x:v>
      </x:c>
      <x:c r="C6" s="13" t="str">
        <x:v>tokens</x:v>
      </x:c>
      <x:c r="D6" s="13" t="str">
        <x:v>CALCULATION</x:v>
      </x:c>
      <x:c r="E6" s="13"/>
      <x:c r="F6" s="13"/>
    </x:row>
    <x:row r="7" ht="15" hidden="0" customHeight="1">
      <x:c r="A7" s="13" t="str">
        <x:v>Token-slot savings</x:v>
      </x:c>
      <x:c r="B7" s="13" t="n">
        <x:f>B5-B6</x:f>
        <x:v>61440</x:v>
      </x:c>
      <x:c r="C7" s="13" t="str">
        <x:v>tokens</x:v>
      </x:c>
      <x:c r="D7" s="13" t="str">
        <x:v>CALCULATION</x:v>
      </x:c>
      <x:c r="E7" s="13"/>
      <x:c r="F7" s="13"/>
    </x:row>
    <x:row r="8" ht="15" hidden="0" customHeight="1">
      <x:c r="A8" s="13" t="str">
        <x:v>Savings fraction</x:v>
      </x:c>
      <x:c r="B8" s="34" t="n">
        <x:f>B7/B5</x:f>
        <x:v>0.625</x:v>
      </x:c>
      <x:c r="C8" s="13" t="str"/>
      <x:c r="D8" s="13" t="str">
        <x:v>CALCULATION</x:v>
      </x:c>
      <x:c r="E8" s="13"/>
      <x:c r="F8" s="13"/>
    </x:row>
    <x:row r="9" ht="15" hidden="0" customHeight="1">
      <x:c r="A9" s="13" t="str">
        <x:v>No-share logical KV</x:v>
      </x:c>
      <x:c r="B9" s="13" t="n">
        <x:f>B5*KV_FORMULA!$B$2/1073741824</x:f>
        <x:v>30</x:v>
      </x:c>
      <x:c r="C9" s="13" t="str">
        <x:v>GiB</x:v>
      </x:c>
      <x:c r="D9" s="13" t="str">
        <x:v>CALCULATION</x:v>
      </x:c>
      <x:c r="E9" s="13"/>
      <x:c r="F9" s="13"/>
    </x:row>
    <x:row r="10" ht="15" hidden="0" customHeight="1">
      <x:c r="A10" s="13" t="str">
        <x:v>Shared logical KV</x:v>
      </x:c>
      <x:c r="B10" s="13" t="n">
        <x:f>B6*KV_FORMULA!$B$2/1073741824</x:f>
        <x:v>11.25</x:v>
      </x:c>
      <x:c r="C10" s="13" t="str">
        <x:v>GiB</x:v>
      </x:c>
      <x:c r="D10" s="13" t="str">
        <x:v>CALCULATION</x:v>
      </x:c>
      <x:c r="E10" s="13"/>
      <x:c r="F10" s="13"/>
    </x:row>
    <x:row r="11" ht="15" hidden="0" customHeight="1">
      <x:c r="A11" s="13"/>
      <x:c r="B11" s="13"/>
      <x:c r="C11" s="13"/>
      <x:c r="D11" s="13"/>
      <x:c r="E11" s="13"/>
      <x:c r="F11" s="13"/>
    </x:row>
    <x:row r="12" ht="15" hidden="0" customHeight="1">
      <x:c r="A12" s="13"/>
      <x:c r="B12" s="13"/>
      <x:c r="C12" s="13"/>
      <x:c r="D12" s="13"/>
      <x:c r="E12" s="13"/>
      <x:c r="F12" s="13"/>
    </x:row>
    <x:row r="13" ht="15" hidden="0" customHeight="1">
      <x:c r="A13" s="13"/>
      <x:c r="B13" s="13"/>
      <x:c r="C13" s="13"/>
      <x:c r="D13" s="13"/>
      <x:c r="E13" s="13"/>
      <x:c r="F13" s="13"/>
    </x:row>
    <x:row r="14" ht="15" hidden="0" customHeight="1">
      <x:c r="A14" s="13"/>
      <x:c r="B14" s="13"/>
      <x:c r="C14" s="13"/>
      <x:c r="D14" s="13"/>
      <x:c r="E14" s="13"/>
      <x:c r="F14" s="13"/>
    </x:row>
    <x:row r="15" ht="15" hidden="0" customHeight="1">
      <x:c r="A15" s="13"/>
      <x:c r="B15" s="13"/>
      <x:c r="C15" s="13"/>
      <x:c r="D15" s="13"/>
      <x:c r="E15" s="13"/>
      <x:c r="F15" s="13"/>
    </x:row>
    <x:row r="16" ht="15" hidden="0" customHeight="1">
      <x:c r="A16" s="13"/>
      <x:c r="B16" s="13"/>
      <x:c r="C16" s="13"/>
      <x:c r="D16" s="13"/>
      <x:c r="E16" s="13"/>
      <x:c r="F16" s="13"/>
    </x:row>
    <x:row r="17" ht="15" hidden="0" customHeight="1">
      <x:c r="A17" s="13"/>
      <x:c r="B17" s="13"/>
      <x:c r="C17" s="13"/>
      <x:c r="D17" s="13"/>
      <x:c r="E17" s="13"/>
      <x:c r="F17" s="13"/>
    </x:row>
    <x:row r="18" ht="15" hidden="0" customHeight="1">
      <x:c r="A18" s="13"/>
      <x:c r="B18" s="13"/>
      <x:c r="C18" s="13"/>
      <x:c r="D18" s="13"/>
      <x:c r="E18" s="13"/>
      <x:c r="F18" s="13"/>
    </x:row>
    <x:row r="19" ht="15" hidden="0" customHeight="1">
      <x:c r="A19" s="13"/>
      <x:c r="B19" s="13"/>
      <x:c r="C19" s="13"/>
      <x:c r="D19" s="13"/>
      <x:c r="E19" s="13"/>
      <x:c r="F19" s="13"/>
    </x:row>
    <x:row r="20" ht="15" hidden="0" customHeight="1">
      <x:c r="A20" s="13"/>
      <x:c r="B20" s="13"/>
      <x:c r="C20" s="13"/>
      <x:c r="D20" s="13"/>
      <x:c r="E20" s="13"/>
      <x:c r="F20" s="13"/>
    </x:row>
    <x:row r="21" ht="15" hidden="0" customHeight="1">
      <x:c r="A21" s="13"/>
      <x:c r="B21" s="13"/>
      <x:c r="C21" s="13"/>
      <x:c r="D21" s="13"/>
      <x:c r="E21" s="13"/>
      <x:c r="F21" s="13"/>
    </x:row>
    <x:row r="22" ht="15" hidden="0" customHeight="1">
      <x:c r="A22" s="13"/>
      <x:c r="B22" s="13"/>
      <x:c r="C22" s="13"/>
      <x:c r="D22" s="13"/>
      <x:c r="E22" s="13"/>
      <x:c r="F22" s="13"/>
    </x:row>
    <x:row r="23" ht="15" hidden="0" customHeight="1">
      <x:c r="A23" s="13"/>
      <x:c r="B23" s="13"/>
      <x:c r="C23" s="13"/>
      <x:c r="D23" s="13"/>
      <x:c r="E23" s="13"/>
      <x:c r="F23" s="13"/>
    </x:row>
    <x:row r="24" ht="15" hidden="0" customHeight="1">
      <x:c r="A24" s="13"/>
      <x:c r="B24" s="13"/>
      <x:c r="C24" s="13"/>
      <x:c r="D24" s="13"/>
      <x:c r="E24" s="13"/>
      <x:c r="F24" s="13"/>
    </x:row>
    <x:row r="25" ht="15" hidden="0" customHeight="1">
      <x:c r="A25" s="13"/>
      <x:c r="B25" s="13"/>
      <x:c r="C25" s="13"/>
      <x:c r="D25" s="13"/>
      <x:c r="E25" s="13"/>
      <x:c r="F25" s="13"/>
    </x:row>
    <x:row r="26" ht="15" hidden="0" customHeight="1">
      <x:c r="A26" s="13"/>
      <x:c r="B26" s="13"/>
      <x:c r="C26" s="13"/>
      <x:c r="D26" s="13"/>
      <x:c r="E26" s="13"/>
      <x:c r="F26" s="13"/>
    </x:row>
    <x:row r="27" ht="15" hidden="0" customHeight="1">
      <x:c r="A27" s="13"/>
      <x:c r="B27" s="13"/>
      <x:c r="C27" s="13"/>
      <x:c r="D27" s="13"/>
      <x:c r="E27" s="13"/>
      <x:c r="F27" s="13"/>
    </x:row>
    <x:row r="28" ht="15" hidden="0" customHeight="1">
      <x:c r="A28" s="13"/>
      <x:c r="B28" s="13"/>
      <x:c r="C28" s="13"/>
      <x:c r="D28" s="13"/>
      <x:c r="E28" s="13"/>
      <x:c r="F28" s="13"/>
    </x:row>
    <x:row r="29" ht="15" hidden="0" customHeight="1">
      <x:c r="A29" s="13"/>
      <x:c r="B29" s="13"/>
      <x:c r="C29" s="13"/>
      <x:c r="D29" s="13"/>
      <x:c r="E29" s="13"/>
      <x:c r="F29" s="13"/>
    </x:row>
    <x:row r="30" ht="15" hidden="0" customHeight="1">
      <x:c r="A30" s="13"/>
      <x:c r="B30" s="13"/>
      <x:c r="C30" s="13"/>
      <x:c r="D30" s="13"/>
      <x:c r="E30" s="13"/>
      <x:c r="F30" s="13"/>
    </x:row>
    <x:row r="31" ht="15" hidden="0" customHeight="1">
      <x:c r="A31" s="13"/>
      <x:c r="B31" s="13"/>
      <x:c r="C31" s="13"/>
      <x:c r="D31" s="13"/>
      <x:c r="E31" s="13"/>
      <x:c r="F31" s="13"/>
    </x:row>
    <x:row r="32" ht="15" hidden="0" customHeight="1">
      <x:c r="A32" s="13"/>
      <x:c r="B32" s="13"/>
      <x:c r="C32" s="13"/>
      <x:c r="D32" s="13"/>
      <x:c r="E32" s="13"/>
      <x:c r="F32" s="13"/>
    </x:row>
    <x:row r="33" ht="15" hidden="0" customHeight="1">
      <x:c r="A33" s="13"/>
      <x:c r="B33" s="13"/>
      <x:c r="C33" s="13"/>
      <x:c r="D33" s="13"/>
      <x:c r="E33" s="13"/>
      <x:c r="F33" s="13"/>
    </x:row>
    <x:row r="34" ht="15" hidden="0" customHeight="1">
      <x:c r="A34" s="13"/>
      <x:c r="B34" s="13"/>
      <x:c r="C34" s="13"/>
      <x:c r="D34" s="13"/>
      <x:c r="E34" s="13"/>
      <x:c r="F34" s="13"/>
    </x:row>
    <x:row r="35" ht="15" hidden="0" customHeight="1">
      <x:c r="A35" s="13"/>
      <x:c r="B35" s="13"/>
      <x:c r="C35" s="13"/>
      <x:c r="D35" s="13"/>
      <x:c r="E35" s="13"/>
      <x:c r="F35" s="13"/>
    </x:row>
    <x:row r="36" ht="15" hidden="0" customHeight="1">
      <x:c r="A36" s="13"/>
      <x:c r="B36" s="13"/>
      <x:c r="C36" s="13"/>
      <x:c r="D36" s="13"/>
      <x:c r="E36" s="13"/>
      <x:c r="F36" s="13"/>
    </x:row>
    <x:row r="37" ht="15" hidden="0" customHeight="1">
      <x:c r="A37" s="13"/>
      <x:c r="B37" s="13"/>
      <x:c r="C37" s="13"/>
      <x:c r="D37" s="13"/>
      <x:c r="E37" s="13"/>
      <x:c r="F37" s="13"/>
    </x:row>
    <x:row r="38" ht="15" hidden="0" customHeight="1">
      <x:c r="A38" s="13"/>
      <x:c r="B38" s="13"/>
      <x:c r="C38" s="13"/>
      <x:c r="D38" s="13"/>
      <x:c r="E38" s="13"/>
      <x:c r="F38" s="13"/>
    </x:row>
    <x:row r="39" ht="15" hidden="0" customHeight="1">
      <x:c r="A39" s="13"/>
      <x:c r="B39" s="13"/>
      <x:c r="C39" s="13"/>
      <x:c r="D39" s="13"/>
      <x:c r="E39" s="13"/>
      <x:c r="F39" s="13"/>
    </x:row>
    <x:row r="40" ht="15" hidden="0" customHeight="1">
      <x:c r="A40" s="13"/>
      <x:c r="B40" s="13"/>
      <x:c r="C40" s="13"/>
      <x:c r="D40" s="13"/>
      <x:c r="E40" s="13"/>
      <x:c r="F40" s="1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42" hidden="0" customWidth="1"/>
  </x:cols>
  <x:sheetData>
    <x:row r="1" ht="15" hidden="0" customHeight="1">
      <x:c r="A1" s="26" t="str">
        <x:v>Input / output</x:v>
      </x:c>
      <x:c r="B1" s="26" t="str">
        <x:v>Value</x:v>
      </x:c>
      <x:c r="C1" s="26" t="str">
        <x:v>Unit</x:v>
      </x:c>
      <x:c r="D1" s="26" t="str">
        <x:v>Classification</x:v>
      </x:c>
      <x:c r="E1" s="13"/>
      <x:c r="F1" s="13"/>
    </x:row>
    <x:row r="2" ht="15" hidden="0" customHeight="1">
      <x:c r="A2" s="13" t="str">
        <x:v>Offload reservoir</x:v>
      </x:c>
      <x:c r="B2" s="28" t="n">
        <x:v>32</x:v>
      </x:c>
      <x:c r="C2" s="13" t="str">
        <x:v>GiB</x:v>
      </x:c>
      <x:c r="D2" s="13" t="str">
        <x:v>SCENARIO</x:v>
      </x:c>
      <x:c r="E2" s="13"/>
      <x:c r="F2" s="13"/>
    </x:row>
    <x:row r="3" ht="15" hidden="0" customHeight="1">
      <x:c r="A3" s="13" t="str">
        <x:v>Recall payload</x:v>
      </x:c>
      <x:c r="B3" s="28" t="n">
        <x:v>4</x:v>
      </x:c>
      <x:c r="C3" s="13" t="str">
        <x:v>GiB</x:v>
      </x:c>
      <x:c r="D3" s="13" t="str">
        <x:v>SCENARIO</x:v>
      </x:c>
      <x:c r="E3" s="13"/>
      <x:c r="F3" s="13"/>
    </x:row>
    <x:row r="4" ht="15" hidden="0" customHeight="1">
      <x:c r="A4" s="13" t="str">
        <x:v>Effective recall bandwidth</x:v>
      </x:c>
      <x:c r="B4" s="28" t="n">
        <x:v>64</x:v>
      </x:c>
      <x:c r="C4" s="13" t="str">
        <x:v>GB/s decimal</x:v>
      </x:c>
      <x:c r="D4" s="13" t="str">
        <x:v>SCENARIO</x:v>
      </x:c>
      <x:c r="E4" s="13"/>
      <x:c r="F4" s="13"/>
    </x:row>
    <x:row r="5" ht="15" hidden="0" customHeight="1">
      <x:c r="A5" s="13" t="str">
        <x:v>Latency</x:v>
      </x:c>
      <x:c r="B5" s="28" t="n">
        <x:v>0.05</x:v>
      </x:c>
      <x:c r="C5" s="13" t="str">
        <x:v>ms</x:v>
      </x:c>
      <x:c r="D5" s="13" t="str">
        <x:v>SCENARIO</x:v>
      </x:c>
      <x:c r="E5" s="13"/>
      <x:c r="F5" s="13"/>
    </x:row>
    <x:row r="6" ht="15" hidden="0" customHeight="1">
      <x:c r="A6" s="13" t="str">
        <x:v>Recall deadline</x:v>
      </x:c>
      <x:c r="B6" s="28" t="n">
        <x:v>50</x:v>
      </x:c>
      <x:c r="C6" s="13" t="str">
        <x:v>ms</x:v>
      </x:c>
      <x:c r="D6" s="13" t="str">
        <x:v>SCENARIO</x:v>
      </x:c>
      <x:c r="E6" s="13"/>
      <x:c r="F6" s="13"/>
    </x:row>
    <x:row r="7" ht="15" hidden="0" customHeight="1">
      <x:c r="A7" s="13" t="str">
        <x:v>Recall lower bound</x:v>
      </x:c>
      <x:c r="B7" s="13" t="n">
        <x:f>B5+(B3*1073741824)/(B4*1000000000)*1000</x:f>
        <x:v>67.15886400000001</x:v>
      </x:c>
      <x:c r="C7" s="13" t="str">
        <x:v>ms</x:v>
      </x:c>
      <x:c r="D7" s="13" t="str">
        <x:v>CALCULATION</x:v>
      </x:c>
      <x:c r="E7" s="13"/>
      <x:c r="F7" s="13"/>
    </x:row>
    <x:row r="8" ht="15" hidden="0" customHeight="1">
      <x:c r="A8" s="13" t="str">
        <x:v>Required bandwidth for deadline</x:v>
      </x:c>
      <x:c r="B8" s="13" t="n">
        <x:f>(B3*1073741824)/((B6-B5)/1000)/1000000000</x:f>
        <x:v>85.98533125125125</x:v>
      </x:c>
      <x:c r="C8" s="13" t="str">
        <x:v>GB/s decimal</x:v>
      </x:c>
      <x:c r="D8" s="13" t="str">
        <x:v>CALCULATION</x:v>
      </x:c>
      <x:c r="E8" s="13"/>
      <x:c r="F8" s="13"/>
    </x:row>
    <x:row r="9" ht="15" hidden="0" customHeight="1">
      <x:c r="A9" s="13" t="str">
        <x:v>Deadline status</x:v>
      </x:c>
      <x:c r="B9" s="13" t="str">
        <x:f>IF(B7&lt;=B6,"MEETS SCENARIO DEADLINE","MISSES SCENARIO DEADLINE")</x:f>
        <x:v>MISSES SCENARIO DEADLINE</x:v>
      </x:c>
      <x:c r="C9" s="13" t="str"/>
      <x:c r="D9" s="13" t="str">
        <x:v>CALCULATION</x:v>
      </x:c>
      <x:c r="E9" s="13"/>
      <x:c r="F9" s="13"/>
    </x:row>
    <x:row r="10" ht="15" hidden="0" customHeight="1">
      <x:c r="A10" s="13" t="str">
        <x:v>Extra ideal token-equivalents in reservoir</x:v>
      </x:c>
      <x:c r="B10" s="13" t="n">
        <x:f>INT(B2*1073741824/KV_FORMULA!$B$2)</x:f>
        <x:v>104857</x:v>
      </x:c>
      <x:c r="C10" s="13" t="str">
        <x:v>tokens</x:v>
      </x:c>
      <x:c r="D10" s="13" t="str">
        <x:v>CALCULATION</x:v>
      </x:c>
      <x:c r="E10" s="13"/>
      <x:c r="F10" s="13"/>
    </x:row>
    <x:row r="11" ht="15" hidden="0" customHeight="1">
      <x:c r="A11" s="13"/>
      <x:c r="B11" s="13"/>
      <x:c r="C11" s="13"/>
      <x:c r="D11" s="13"/>
      <x:c r="E11" s="13"/>
      <x:c r="F11" s="13"/>
    </x:row>
    <x:row r="12" ht="15" hidden="0" customHeight="1">
      <x:c r="A12" s="13"/>
      <x:c r="B12" s="13"/>
      <x:c r="C12" s="13"/>
      <x:c r="D12" s="13"/>
      <x:c r="E12" s="13"/>
      <x:c r="F12" s="13"/>
    </x:row>
    <x:row r="13" ht="15" hidden="0" customHeight="1">
      <x:c r="A13" s="13"/>
      <x:c r="B13" s="13"/>
      <x:c r="C13" s="13"/>
      <x:c r="D13" s="13"/>
      <x:c r="E13" s="13"/>
      <x:c r="F13" s="13"/>
    </x:row>
    <x:row r="14" ht="15" hidden="0" customHeight="1">
      <x:c r="A14" s="13"/>
      <x:c r="B14" s="13"/>
      <x:c r="C14" s="13"/>
      <x:c r="D14" s="13"/>
      <x:c r="E14" s="13"/>
      <x:c r="F14" s="13"/>
    </x:row>
    <x:row r="15" ht="15" hidden="0" customHeight="1">
      <x:c r="A15" s="13"/>
      <x:c r="B15" s="13"/>
      <x:c r="C15" s="13"/>
      <x:c r="D15" s="13"/>
      <x:c r="E15" s="13"/>
      <x:c r="F15" s="13"/>
    </x:row>
    <x:row r="16" ht="15" hidden="0" customHeight="1">
      <x:c r="A16" s="13"/>
      <x:c r="B16" s="13"/>
      <x:c r="C16" s="13"/>
      <x:c r="D16" s="13"/>
      <x:c r="E16" s="13"/>
      <x:c r="F16" s="13"/>
    </x:row>
    <x:row r="17" ht="15" hidden="0" customHeight="1">
      <x:c r="A17" s="13"/>
      <x:c r="B17" s="13"/>
      <x:c r="C17" s="13"/>
      <x:c r="D17" s="13"/>
      <x:c r="E17" s="13"/>
      <x:c r="F17" s="13"/>
    </x:row>
    <x:row r="18" ht="15" hidden="0" customHeight="1">
      <x:c r="A18" s="13"/>
      <x:c r="B18" s="13"/>
      <x:c r="C18" s="13"/>
      <x:c r="D18" s="13"/>
      <x:c r="E18" s="13"/>
      <x:c r="F18" s="13"/>
    </x:row>
    <x:row r="19" ht="15" hidden="0" customHeight="1">
      <x:c r="A19" s="13"/>
      <x:c r="B19" s="13"/>
      <x:c r="C19" s="13"/>
      <x:c r="D19" s="13"/>
      <x:c r="E19" s="13"/>
      <x:c r="F19" s="13"/>
    </x:row>
    <x:row r="20" ht="15" hidden="0" customHeight="1">
      <x:c r="A20" s="13"/>
      <x:c r="B20" s="13"/>
      <x:c r="C20" s="13"/>
      <x:c r="D20" s="13"/>
      <x:c r="E20" s="13"/>
      <x:c r="F20" s="13"/>
    </x:row>
    <x:row r="21" ht="15" hidden="0" customHeight="1">
      <x:c r="A21" s="13"/>
      <x:c r="B21" s="13"/>
      <x:c r="C21" s="13"/>
      <x:c r="D21" s="13"/>
      <x:c r="E21" s="13"/>
      <x:c r="F21" s="13"/>
    </x:row>
    <x:row r="22" ht="15" hidden="0" customHeight="1">
      <x:c r="A22" s="13"/>
      <x:c r="B22" s="13"/>
      <x:c r="C22" s="13"/>
      <x:c r="D22" s="13"/>
      <x:c r="E22" s="13"/>
      <x:c r="F22" s="13"/>
    </x:row>
    <x:row r="23" ht="15" hidden="0" customHeight="1">
      <x:c r="A23" s="13"/>
      <x:c r="B23" s="13"/>
      <x:c r="C23" s="13"/>
      <x:c r="D23" s="13"/>
      <x:c r="E23" s="13"/>
      <x:c r="F23" s="13"/>
    </x:row>
    <x:row r="24" ht="15" hidden="0" customHeight="1">
      <x:c r="A24" s="13"/>
      <x:c r="B24" s="13"/>
      <x:c r="C24" s="13"/>
      <x:c r="D24" s="13"/>
      <x:c r="E24" s="13"/>
      <x:c r="F24" s="13"/>
    </x:row>
    <x:row r="25" ht="15" hidden="0" customHeight="1">
      <x:c r="A25" s="13"/>
      <x:c r="B25" s="13"/>
      <x:c r="C25" s="13"/>
      <x:c r="D25" s="13"/>
      <x:c r="E25" s="13"/>
      <x:c r="F25" s="13"/>
    </x:row>
    <x:row r="26" ht="15" hidden="0" customHeight="1">
      <x:c r="A26" s="13"/>
      <x:c r="B26" s="13"/>
      <x:c r="C26" s="13"/>
      <x:c r="D26" s="13"/>
      <x:c r="E26" s="13"/>
      <x:c r="F26" s="13"/>
    </x:row>
    <x:row r="27" ht="15" hidden="0" customHeight="1">
      <x:c r="A27" s="13"/>
      <x:c r="B27" s="13"/>
      <x:c r="C27" s="13"/>
      <x:c r="D27" s="13"/>
      <x:c r="E27" s="13"/>
      <x:c r="F27" s="13"/>
    </x:row>
    <x:row r="28" ht="15" hidden="0" customHeight="1">
      <x:c r="A28" s="13"/>
      <x:c r="B28" s="13"/>
      <x:c r="C28" s="13"/>
      <x:c r="D28" s="13"/>
      <x:c r="E28" s="13"/>
      <x:c r="F28" s="13"/>
    </x:row>
    <x:row r="29" ht="15" hidden="0" customHeight="1">
      <x:c r="A29" s="13"/>
      <x:c r="B29" s="13"/>
      <x:c r="C29" s="13"/>
      <x:c r="D29" s="13"/>
      <x:c r="E29" s="13"/>
      <x:c r="F29" s="13"/>
    </x:row>
    <x:row r="30" ht="15" hidden="0" customHeight="1">
      <x:c r="A30" s="13"/>
      <x:c r="B30" s="13"/>
      <x:c r="C30" s="13"/>
      <x:c r="D30" s="13"/>
      <x:c r="E30" s="13"/>
      <x:c r="F30" s="13"/>
    </x:row>
    <x:row r="31" ht="15" hidden="0" customHeight="1">
      <x:c r="A31" s="13"/>
      <x:c r="B31" s="13"/>
      <x:c r="C31" s="13"/>
      <x:c r="D31" s="13"/>
      <x:c r="E31" s="13"/>
      <x:c r="F31" s="13"/>
    </x:row>
    <x:row r="32" ht="15" hidden="0" customHeight="1">
      <x:c r="A32" s="13"/>
      <x:c r="B32" s="13"/>
      <x:c r="C32" s="13"/>
      <x:c r="D32" s="13"/>
      <x:c r="E32" s="13"/>
      <x:c r="F32" s="13"/>
    </x:row>
    <x:row r="33" ht="15" hidden="0" customHeight="1">
      <x:c r="A33" s="13"/>
      <x:c r="B33" s="13"/>
      <x:c r="C33" s="13"/>
      <x:c r="D33" s="13"/>
      <x:c r="E33" s="13"/>
      <x:c r="F33" s="13"/>
    </x:row>
    <x:row r="34" ht="15" hidden="0" customHeight="1">
      <x:c r="A34" s="13"/>
      <x:c r="B34" s="13"/>
      <x:c r="C34" s="13"/>
      <x:c r="D34" s="13"/>
      <x:c r="E34" s="13"/>
      <x:c r="F34" s="13"/>
    </x:row>
    <x:row r="35" ht="15" hidden="0" customHeight="1">
      <x:c r="A35" s="13"/>
      <x:c r="B35" s="13"/>
      <x:c r="C35" s="13"/>
      <x:c r="D35" s="13"/>
      <x:c r="E35" s="13"/>
      <x:c r="F35" s="13"/>
    </x:row>
    <x:row r="36" ht="15" hidden="0" customHeight="1">
      <x:c r="A36" s="13"/>
      <x:c r="B36" s="13"/>
      <x:c r="C36" s="13"/>
      <x:c r="D36" s="13"/>
      <x:c r="E36" s="13"/>
      <x:c r="F36" s="13"/>
    </x:row>
    <x:row r="37" ht="15" hidden="0" customHeight="1">
      <x:c r="A37" s="13"/>
      <x:c r="B37" s="13"/>
      <x:c r="C37" s="13"/>
      <x:c r="D37" s="13"/>
      <x:c r="E37" s="13"/>
      <x:c r="F37" s="13"/>
    </x:row>
    <x:row r="38" ht="15" hidden="0" customHeight="1">
      <x:c r="A38" s="13"/>
      <x:c r="B38" s="13"/>
      <x:c r="C38" s="13"/>
      <x:c r="D38" s="13"/>
      <x:c r="E38" s="13"/>
      <x:c r="F38" s="13"/>
    </x:row>
    <x:row r="39" ht="15" hidden="0" customHeight="1">
      <x:c r="A39" s="13"/>
      <x:c r="B39" s="13"/>
      <x:c r="C39" s="13"/>
      <x:c r="D39" s="13"/>
      <x:c r="E39" s="13"/>
      <x:c r="F39" s="13"/>
    </x:row>
    <x:row r="40" ht="15" hidden="0" customHeight="1">
      <x:c r="A40" s="13"/>
      <x:c r="B40" s="13"/>
      <x:c r="C40" s="13"/>
      <x:c r="D40" s="13"/>
      <x:c r="E40" s="13"/>
      <x:c r="F40" s="1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42" hidden="0" customWidth="1"/>
  </x:cols>
  <x:sheetData>
    <x:row r="1" ht="15" hidden="0" customHeight="1">
      <x:c r="A1" s="26" t="str">
        <x:v>Context tokens</x:v>
      </x:c>
      <x:c r="B1" s="26" t="str">
        <x:v>GQA BF16</x:v>
      </x:c>
      <x:c r="C1" s="26" t="str">
        <x:v>GQA FP8 scenario</x:v>
      </x:c>
      <x:c r="D1" s="26" t="str">
        <x:v>MHA BF16 hypothetical</x:v>
      </x:c>
      <x:c r="E1" s="13"/>
      <x:c r="F1" s="13"/>
    </x:row>
    <x:row r="2" ht="15" hidden="0" customHeight="1">
      <x:c r="A2" s="13" t="n">
        <x:v>4096</x:v>
      </x:c>
      <x:c r="B2" s="13" t="n">
        <x:v>64</x:v>
      </x:c>
      <x:c r="C2" s="13" t="n">
        <x:v>128</x:v>
      </x:c>
      <x:c r="D2" s="13" t="n">
        <x:v>8</x:v>
      </x:c>
      <x:c r="E2" s="13"/>
      <x:c r="F2" s="13"/>
    </x:row>
    <x:row r="3" ht="15" hidden="0" customHeight="1">
      <x:c r="A3" s="13" t="n">
        <x:v>8192</x:v>
      </x:c>
      <x:c r="B3" s="13" t="n">
        <x:v>32</x:v>
      </x:c>
      <x:c r="C3" s="13" t="n">
        <x:v>64</x:v>
      </x:c>
      <x:c r="D3" s="13" t="n">
        <x:v>4</x:v>
      </x:c>
      <x:c r="E3" s="13"/>
      <x:c r="F3" s="13"/>
    </x:row>
    <x:row r="4" ht="15" hidden="0" customHeight="1">
      <x:c r="A4" s="13" t="n">
        <x:v>16384</x:v>
      </x:c>
      <x:c r="B4" s="13" t="n">
        <x:v>16</x:v>
      </x:c>
      <x:c r="C4" s="13" t="n">
        <x:v>32</x:v>
      </x:c>
      <x:c r="D4" s="13" t="n">
        <x:v>2</x:v>
      </x:c>
      <x:c r="E4" s="13"/>
      <x:c r="F4" s="13"/>
    </x:row>
    <x:row r="5" ht="15" hidden="0" customHeight="1">
      <x:c r="A5" s="13" t="n">
        <x:v>32768</x:v>
      </x:c>
      <x:c r="B5" s="13" t="n">
        <x:v>8</x:v>
      </x:c>
      <x:c r="C5" s="13" t="n">
        <x:v>16</x:v>
      </x:c>
      <x:c r="D5" s="13" t="n">
        <x:v>1</x:v>
      </x:c>
      <x:c r="E5" s="13"/>
      <x:c r="F5" s="13"/>
    </x:row>
    <x:row r="6" ht="15" hidden="0" customHeight="1">
      <x:c r="A6" s="13" t="n">
        <x:v>65536</x:v>
      </x:c>
      <x:c r="B6" s="13" t="n">
        <x:v>4</x:v>
      </x:c>
      <x:c r="C6" s="13" t="n">
        <x:v>8</x:v>
      </x:c>
      <x:c r="D6" s="13" t="n">
        <x:v>0</x:v>
      </x:c>
      <x:c r="E6" s="13"/>
      <x:c r="F6" s="13"/>
    </x:row>
    <x:row r="7" ht="15" hidden="0" customHeight="1">
      <x:c r="A7" s="13" t="n">
        <x:v>131072</x:v>
      </x:c>
      <x:c r="B7" s="13" t="n">
        <x:v>2</x:v>
      </x:c>
      <x:c r="C7" s="13" t="n">
        <x:v>4</x:v>
      </x:c>
      <x:c r="D7" s="13" t="n">
        <x:v>0</x:v>
      </x:c>
      <x:c r="E7" s="13"/>
      <x:c r="F7" s="13"/>
    </x:row>
    <x:row r="8" ht="15" hidden="0" customHeight="1">
      <x:c r="A8" s="13"/>
      <x:c r="B8" s="13"/>
      <x:c r="C8" s="13"/>
      <x:c r="D8" s="13"/>
      <x:c r="E8" s="13"/>
      <x:c r="F8" s="13"/>
    </x:row>
    <x:row r="9" ht="15" hidden="0" customHeight="1">
      <x:c r="A9" s="13"/>
      <x:c r="B9" s="13"/>
      <x:c r="C9" s="13"/>
      <x:c r="D9" s="13"/>
      <x:c r="E9" s="13"/>
      <x:c r="F9" s="13"/>
    </x:row>
    <x:row r="10" ht="15" hidden="0" customHeight="1">
      <x:c r="A10" s="13"/>
      <x:c r="B10" s="13"/>
      <x:c r="C10" s="13"/>
      <x:c r="D10" s="13"/>
      <x:c r="E10" s="13"/>
      <x:c r="F10" s="13"/>
    </x:row>
    <x:row r="11" ht="15" hidden="0" customHeight="1">
      <x:c r="A11" s="13"/>
      <x:c r="B11" s="13"/>
      <x:c r="C11" s="13"/>
      <x:c r="D11" s="13"/>
      <x:c r="E11" s="13"/>
      <x:c r="F11" s="13"/>
    </x:row>
    <x:row r="12" ht="15" hidden="0" customHeight="1">
      <x:c r="A12" s="13"/>
      <x:c r="B12" s="13"/>
      <x:c r="C12" s="13"/>
      <x:c r="D12" s="13"/>
      <x:c r="E12" s="13"/>
      <x:c r="F12" s="13"/>
    </x:row>
    <x:row r="13" ht="15" hidden="0" customHeight="1">
      <x:c r="A13" s="13"/>
      <x:c r="B13" s="13"/>
      <x:c r="C13" s="13"/>
      <x:c r="D13" s="13"/>
      <x:c r="E13" s="13"/>
      <x:c r="F13" s="13"/>
    </x:row>
    <x:row r="14" ht="15" hidden="0" customHeight="1">
      <x:c r="A14" s="13"/>
      <x:c r="B14" s="13"/>
      <x:c r="C14" s="13"/>
      <x:c r="D14" s="13"/>
      <x:c r="E14" s="13"/>
      <x:c r="F14" s="13"/>
    </x:row>
    <x:row r="15" ht="15" hidden="0" customHeight="1">
      <x:c r="A15" s="13"/>
      <x:c r="B15" s="13"/>
      <x:c r="C15" s="13"/>
      <x:c r="D15" s="13"/>
      <x:c r="E15" s="13"/>
      <x:c r="F15" s="13"/>
    </x:row>
    <x:row r="16" ht="15" hidden="0" customHeight="1">
      <x:c r="A16" s="13"/>
      <x:c r="B16" s="13"/>
      <x:c r="C16" s="13"/>
      <x:c r="D16" s="13"/>
      <x:c r="E16" s="13"/>
      <x:c r="F16" s="13"/>
    </x:row>
    <x:row r="17" ht="15" hidden="0" customHeight="1">
      <x:c r="A17" s="13"/>
      <x:c r="B17" s="13"/>
      <x:c r="C17" s="13"/>
      <x:c r="D17" s="13"/>
      <x:c r="E17" s="13"/>
      <x:c r="F17" s="13"/>
    </x:row>
    <x:row r="18" ht="15" hidden="0" customHeight="1">
      <x:c r="A18" s="13"/>
      <x:c r="B18" s="13"/>
      <x:c r="C18" s="13"/>
      <x:c r="D18" s="13"/>
      <x:c r="E18" s="13"/>
      <x:c r="F18" s="13"/>
    </x:row>
    <x:row r="19" ht="15" hidden="0" customHeight="1">
      <x:c r="A19" s="13"/>
      <x:c r="B19" s="13"/>
      <x:c r="C19" s="13"/>
      <x:c r="D19" s="13"/>
      <x:c r="E19" s="13"/>
      <x:c r="F19" s="13"/>
    </x:row>
    <x:row r="20" ht="15" hidden="0" customHeight="1">
      <x:c r="A20" s="13"/>
      <x:c r="B20" s="13"/>
      <x:c r="C20" s="13"/>
      <x:c r="D20" s="13"/>
      <x:c r="E20" s="13"/>
      <x:c r="F20" s="13"/>
    </x:row>
    <x:row r="21" ht="15" hidden="0" customHeight="1">
      <x:c r="A21" s="13"/>
      <x:c r="B21" s="13"/>
      <x:c r="C21" s="13"/>
      <x:c r="D21" s="13"/>
      <x:c r="E21" s="13"/>
      <x:c r="F21" s="13"/>
    </x:row>
    <x:row r="22" ht="15" hidden="0" customHeight="1">
      <x:c r="A22" s="13"/>
      <x:c r="B22" s="13"/>
      <x:c r="C22" s="13"/>
      <x:c r="D22" s="13"/>
      <x:c r="E22" s="13"/>
      <x:c r="F22" s="13"/>
    </x:row>
    <x:row r="23" ht="15" hidden="0" customHeight="1">
      <x:c r="A23" s="13"/>
      <x:c r="B23" s="13"/>
      <x:c r="C23" s="13"/>
      <x:c r="D23" s="13"/>
      <x:c r="E23" s="13"/>
      <x:c r="F23" s="13"/>
    </x:row>
    <x:row r="24" ht="15" hidden="0" customHeight="1">
      <x:c r="A24" s="13"/>
      <x:c r="B24" s="13"/>
      <x:c r="C24" s="13"/>
      <x:c r="D24" s="13"/>
      <x:c r="E24" s="13"/>
      <x:c r="F24" s="13"/>
    </x:row>
    <x:row r="25" ht="15" hidden="0" customHeight="1">
      <x:c r="A25" s="13"/>
      <x:c r="B25" s="13"/>
      <x:c r="C25" s="13"/>
      <x:c r="D25" s="13"/>
      <x:c r="E25" s="13"/>
      <x:c r="F25" s="13"/>
    </x:row>
    <x:row r="26" ht="15" hidden="0" customHeight="1">
      <x:c r="A26" s="13"/>
      <x:c r="B26" s="13"/>
      <x:c r="C26" s="13"/>
      <x:c r="D26" s="13"/>
      <x:c r="E26" s="13"/>
      <x:c r="F26" s="13"/>
    </x:row>
    <x:row r="27" ht="15" hidden="0" customHeight="1">
      <x:c r="A27" s="13"/>
      <x:c r="B27" s="13"/>
      <x:c r="C27" s="13"/>
      <x:c r="D27" s="13"/>
      <x:c r="E27" s="13"/>
      <x:c r="F27" s="13"/>
    </x:row>
    <x:row r="28" ht="15" hidden="0" customHeight="1">
      <x:c r="A28" s="13"/>
      <x:c r="B28" s="13"/>
      <x:c r="C28" s="13"/>
      <x:c r="D28" s="13"/>
      <x:c r="E28" s="13"/>
      <x:c r="F28" s="13"/>
    </x:row>
    <x:row r="29" ht="15" hidden="0" customHeight="1">
      <x:c r="A29" s="13"/>
      <x:c r="B29" s="13"/>
      <x:c r="C29" s="13"/>
      <x:c r="D29" s="13"/>
      <x:c r="E29" s="13"/>
      <x:c r="F29" s="13"/>
    </x:row>
    <x:row r="30" ht="15" hidden="0" customHeight="1">
      <x:c r="A30" s="13"/>
      <x:c r="B30" s="13"/>
      <x:c r="C30" s="13"/>
      <x:c r="D30" s="13"/>
      <x:c r="E30" s="13"/>
      <x:c r="F30" s="13"/>
    </x:row>
    <x:row r="31" ht="15" hidden="0" customHeight="1">
      <x:c r="A31" s="13"/>
      <x:c r="B31" s="13"/>
      <x:c r="C31" s="13"/>
      <x:c r="D31" s="13"/>
      <x:c r="E31" s="13"/>
      <x:c r="F31" s="13"/>
    </x:row>
    <x:row r="32" ht="15" hidden="0" customHeight="1">
      <x:c r="A32" s="13"/>
      <x:c r="B32" s="13"/>
      <x:c r="C32" s="13"/>
      <x:c r="D32" s="13"/>
      <x:c r="E32" s="13"/>
      <x:c r="F32" s="13"/>
    </x:row>
    <x:row r="33" ht="15" hidden="0" customHeight="1">
      <x:c r="A33" s="13"/>
      <x:c r="B33" s="13"/>
      <x:c r="C33" s="13"/>
      <x:c r="D33" s="13"/>
      <x:c r="E33" s="13"/>
      <x:c r="F33" s="13"/>
    </x:row>
    <x:row r="34" ht="15" hidden="0" customHeight="1">
      <x:c r="A34" s="13"/>
      <x:c r="B34" s="13"/>
      <x:c r="C34" s="13"/>
      <x:c r="D34" s="13"/>
      <x:c r="E34" s="13"/>
      <x:c r="F34" s="13"/>
    </x:row>
    <x:row r="35" ht="15" hidden="0" customHeight="1">
      <x:c r="A35" s="13"/>
      <x:c r="B35" s="13"/>
      <x:c r="C35" s="13"/>
      <x:c r="D35" s="13"/>
      <x:c r="E35" s="13"/>
      <x:c r="F35" s="13"/>
    </x:row>
    <x:row r="36" ht="15" hidden="0" customHeight="1">
      <x:c r="A36" s="13"/>
      <x:c r="B36" s="13"/>
      <x:c r="C36" s="13"/>
      <x:c r="D36" s="13"/>
      <x:c r="E36" s="13"/>
      <x:c r="F36" s="13"/>
    </x:row>
    <x:row r="37" ht="15" hidden="0" customHeight="1">
      <x:c r="A37" s="13"/>
      <x:c r="B37" s="13"/>
      <x:c r="C37" s="13"/>
      <x:c r="D37" s="13"/>
      <x:c r="E37" s="13"/>
      <x:c r="F37" s="13"/>
    </x:row>
    <x:row r="38" ht="15" hidden="0" customHeight="1">
      <x:c r="A38" s="13"/>
      <x:c r="B38" s="13"/>
      <x:c r="C38" s="13"/>
      <x:c r="D38" s="13"/>
      <x:c r="E38" s="13"/>
      <x:c r="F38" s="13"/>
    </x:row>
    <x:row r="39" ht="15" hidden="0" customHeight="1">
      <x:c r="A39" s="13"/>
      <x:c r="B39" s="13"/>
      <x:c r="C39" s="13"/>
      <x:c r="D39" s="13"/>
      <x:c r="E39" s="13"/>
      <x:c r="F39" s="13"/>
    </x:row>
    <x:row r="40" ht="15" hidden="0" customHeight="1">
      <x:c r="A40" s="13"/>
      <x:c r="B40" s="13"/>
      <x:c r="C40" s="13"/>
      <x:c r="D40" s="13"/>
      <x:c r="E40" s="13"/>
      <x:c r="F40" s="13"/>
    </x:row>
  </x:sheetData>
  <x:pageMargins left="0.7" right="0.7" top="0.75" bottom="0.75" header="0.3" footer="0.3"/>
  <x:drawing xmlns:r="http://schemas.openxmlformats.org/officeDocument/2006/relationships" r:id="R1f13f6f490db4447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42" hidden="0" customWidth="1"/>
  </x:cols>
  <x:sheetData>
    <x:row r="1" ht="15" hidden="0" customHeight="1">
      <x:c r="A1" s="26" t="str">
        <x:v>Source</x:v>
      </x:c>
      <x:c r="B1" s="26" t="str">
        <x:v>URL</x:v>
      </x:c>
      <x:c r="C1" s="26" t="str">
        <x:v>Use</x:v>
      </x:c>
      <x:c r="D1" s="13"/>
      <x:c r="E1" s="13"/>
      <x:c r="F1" s="13"/>
    </x:row>
    <x:row r="2" ht="15" hidden="0" customHeight="1">
      <x:c r="A2" s="13" t="str">
        <x:v>Qwen model card</x:v>
      </x:c>
      <x:c r="B2" s="13" t="str">
        <x:v>https://huggingface.co/Qwen/Qwen2.5-72B-Instruct</x:v>
      </x:c>
      <x:c r="C2" s="13" t="str">
        <x:v>architecture + context</x:v>
      </x:c>
      <x:c r="D2" s="13"/>
      <x:c r="E2" s="13"/>
      <x:c r="F2" s="13"/>
    </x:row>
    <x:row r="3" ht="15" hidden="0" customHeight="1">
      <x:c r="A3" s="13" t="str">
        <x:v>Qwen config</x:v>
      </x:c>
      <x:c r="B3" s="13" t="str">
        <x:v>https://huggingface.co/Qwen/Qwen2.5-72B-Instruct/blob/main/config.json</x:v>
      </x:c>
      <x:c r="C3" s="13" t="str">
        <x:v>layers/heads/hidden/dtype/full-attention flag</x:v>
      </x:c>
      <x:c r="D3" s="13"/>
      <x:c r="E3" s="13"/>
      <x:c r="F3" s="13"/>
    </x:row>
    <x:row r="4" ht="15" hidden="0" customHeight="1">
      <x:c r="A4" s="13" t="str">
        <x:v>vLLM cache config</x:v>
      </x:c>
      <x:c r="B4" s="13" t="str">
        <x:v>https://docs.vllm.ai/en/stable/api/vllm/config/cache/</x:v>
      </x:c>
      <x:c r="C4" s="13" t="str">
        <x:v>group-aware token capacity + offload</x:v>
      </x:c>
      <x:c r="D4" s="13"/>
      <x:c r="E4" s="13"/>
      <x:c r="F4" s="13"/>
    </x:row>
    <x:row r="5" ht="15" hidden="0" customHeight="1">
      <x:c r="A5" s="13" t="str">
        <x:v>vLLM engine args</x:v>
      </x:c>
      <x:c r="B5" s="13" t="str">
        <x:v>https://docs.vllm.ai/en/stable/configuration/engine_args/</x:v>
      </x:c>
      <x:c r="C5" s="13" t="str">
        <x:v>memory/dtype/prefix/offload controls</x:v>
      </x:c>
      <x:c r="D5" s="13"/>
      <x:c r="E5" s="13"/>
      <x:c r="F5" s="13"/>
    </x:row>
    <x:row r="6" ht="15" hidden="0" customHeight="1">
      <x:c r="A6" s="13" t="str">
        <x:v>vLLM scaling</x:v>
      </x:c>
      <x:c r="B6" s="13" t="str">
        <x:v>https://docs.vllm.ai/en/stable/serving/parallelism_scaling/</x:v>
      </x:c>
      <x:c r="C6" s="13" t="str">
        <x:v>runtime token capacity + max concurrency logs</x:v>
      </x:c>
      <x:c r="D6" s="13"/>
      <x:c r="E6" s="13"/>
      <x:c r="F6" s="13"/>
    </x:row>
    <x:row r="7" ht="15" hidden="0" customHeight="1">
      <x:c r="A7" s="13" t="str">
        <x:v>vLLM prefix caching</x:v>
      </x:c>
      <x:c r="B7" s="13" t="str">
        <x:v>https://docs.vllm.ai/en/stable/design/prefix_caching/</x:v>
      </x:c>
      <x:c r="C7" s="13" t="str">
        <x:v>block reference/reuse behavior</x:v>
      </x:c>
      <x:c r="D7" s="13"/>
      <x:c r="E7" s="13"/>
      <x:c r="F7" s="13"/>
    </x:row>
    <x:row r="8" ht="15" hidden="0" customHeight="1">
      <x:c r="A8" s="13" t="str">
        <x:v>TensorRT-LLM KV cache</x:v>
      </x:c>
      <x:c r="B8" s="13" t="str">
        <x:v>https://nvidia.github.io/TensorRT-LLM/latest/features/kvcache.html</x:v>
      </x:c>
      <x:c r="C8" s="13" t="str">
        <x:v>block pools/reuse/GQA/memory/offload</x:v>
      </x:c>
      <x:c r="D8" s="13"/>
      <x:c r="E8" s="13"/>
      <x:c r="F8" s="13"/>
    </x:row>
    <x:row r="9" ht="15" hidden="0" customHeight="1">
      <x:c r="A9" s="13" t="str">
        <x:v>Dynamo KVBM</x:v>
      </x:c>
      <x:c r="B9" s="13" t="str">
        <x:v>https://docs.nvidia.com/dynamo/latest/user-guides/kv-cache-offloading</x:v>
      </x:c>
      <x:c r="C9" s="13" t="str">
        <x:v>multi-tier KV management</x:v>
      </x:c>
      <x:c r="D9" s="13"/>
      <x:c r="E9" s="13"/>
      <x:c r="F9" s="13"/>
    </x:row>
    <x:row r="10" ht="15" hidden="0" customHeight="1">
      <x:c r="A10" s="13" t="str">
        <x:v>SGLang args</x:v>
      </x:c>
      <x:c r="B10" s="13" t="str">
        <x:v>https://docs.sglang.io/docs/advanced_features/server_arguments</x:v>
      </x:c>
      <x:c r="C10" s="13" t="str">
        <x:v>KV pool + FP8 modes</x:v>
      </x:c>
      <x:c r="D10" s="13"/>
      <x:c r="E10" s="13"/>
      <x:c r="F10" s="13"/>
    </x:row>
    <x:row r="11" ht="15" hidden="0" customHeight="1">
      <x:c r="A11" s="13" t="str">
        <x:v>GQA paper</x:v>
      </x:c>
      <x:c r="B11" s="13" t="str">
        <x:v>https://arxiv.org/abs/2305.13245</x:v>
      </x:c>
      <x:c r="C11" s="13" t="str">
        <x:v>architecture mechanism</x:v>
      </x:c>
      <x:c r="D11" s="13"/>
      <x:c r="E11" s="13"/>
      <x:c r="F11" s="13"/>
    </x:row>
    <x:row r="12" ht="15" hidden="0" customHeight="1">
      <x:c r="A12" s="13" t="str">
        <x:v>PagedAttention paper</x:v>
      </x:c>
      <x:c r="B12" s="13" t="str">
        <x:v>https://arxiv.org/abs/2309.06180</x:v>
      </x:c>
      <x:c r="C12" s="13" t="str">
        <x:v>paged KV background</x:v>
      </x:c>
      <x:c r="D12" s="13"/>
      <x:c r="E12" s="13"/>
      <x:c r="F12" s="13"/>
    </x:row>
    <x:row r="13" ht="15" hidden="0" customHeight="1">
      <x:c r="A13" s="13" t="str">
        <x:v>YaRN paper</x:v>
      </x:c>
      <x:c r="B13" s="13" t="str">
        <x:v>https://arxiv.org/abs/2309.00071</x:v>
      </x:c>
      <x:c r="C13" s="13" t="str">
        <x:v>long-context method</x:v>
      </x:c>
      <x:c r="D13" s="13"/>
      <x:c r="E13" s="13"/>
      <x:c r="F13" s="13"/>
    </x:row>
    <x:row r="14" ht="15" hidden="0" customHeight="1">
      <x:c r="A14" s="13"/>
      <x:c r="B14" s="13"/>
      <x:c r="C14" s="13"/>
      <x:c r="D14" s="13"/>
      <x:c r="E14" s="13"/>
      <x:c r="F14" s="13"/>
    </x:row>
    <x:row r="15" ht="15" hidden="0" customHeight="1">
      <x:c r="A15" s="13"/>
      <x:c r="B15" s="13"/>
      <x:c r="C15" s="13"/>
      <x:c r="D15" s="13"/>
      <x:c r="E15" s="13"/>
      <x:c r="F15" s="13"/>
    </x:row>
    <x:row r="16" ht="15" hidden="0" customHeight="1">
      <x:c r="A16" s="13"/>
      <x:c r="B16" s="13"/>
      <x:c r="C16" s="13"/>
      <x:c r="D16" s="13"/>
      <x:c r="E16" s="13"/>
      <x:c r="F16" s="13"/>
    </x:row>
    <x:row r="17" ht="15" hidden="0" customHeight="1">
      <x:c r="A17" s="13"/>
      <x:c r="B17" s="13"/>
      <x:c r="C17" s="13"/>
      <x:c r="D17" s="13"/>
      <x:c r="E17" s="13"/>
      <x:c r="F17" s="13"/>
    </x:row>
    <x:row r="18" ht="15" hidden="0" customHeight="1">
      <x:c r="A18" s="13"/>
      <x:c r="B18" s="13"/>
      <x:c r="C18" s="13"/>
      <x:c r="D18" s="13"/>
      <x:c r="E18" s="13"/>
      <x:c r="F18" s="13"/>
    </x:row>
    <x:row r="19" ht="15" hidden="0" customHeight="1">
      <x:c r="A19" s="13"/>
      <x:c r="B19" s="13"/>
      <x:c r="C19" s="13"/>
      <x:c r="D19" s="13"/>
      <x:c r="E19" s="13"/>
      <x:c r="F19" s="13"/>
    </x:row>
    <x:row r="20" ht="15" hidden="0" customHeight="1">
      <x:c r="A20" s="13"/>
      <x:c r="B20" s="13"/>
      <x:c r="C20" s="13"/>
      <x:c r="D20" s="13"/>
      <x:c r="E20" s="13"/>
      <x:c r="F20" s="13"/>
    </x:row>
    <x:row r="21" ht="15" hidden="0" customHeight="1">
      <x:c r="A21" s="13"/>
      <x:c r="B21" s="13"/>
      <x:c r="C21" s="13"/>
      <x:c r="D21" s="13"/>
      <x:c r="E21" s="13"/>
      <x:c r="F21" s="13"/>
    </x:row>
    <x:row r="22" ht="15" hidden="0" customHeight="1">
      <x:c r="A22" s="13"/>
      <x:c r="B22" s="13"/>
      <x:c r="C22" s="13"/>
      <x:c r="D22" s="13"/>
      <x:c r="E22" s="13"/>
      <x:c r="F22" s="13"/>
    </x:row>
    <x:row r="23" ht="15" hidden="0" customHeight="1">
      <x:c r="A23" s="13"/>
      <x:c r="B23" s="13"/>
      <x:c r="C23" s="13"/>
      <x:c r="D23" s="13"/>
      <x:c r="E23" s="13"/>
      <x:c r="F23" s="13"/>
    </x:row>
    <x:row r="24" ht="15" hidden="0" customHeight="1">
      <x:c r="A24" s="13"/>
      <x:c r="B24" s="13"/>
      <x:c r="C24" s="13"/>
      <x:c r="D24" s="13"/>
      <x:c r="E24" s="13"/>
      <x:c r="F24" s="13"/>
    </x:row>
    <x:row r="25" ht="15" hidden="0" customHeight="1">
      <x:c r="A25" s="13"/>
      <x:c r="B25" s="13"/>
      <x:c r="C25" s="13"/>
      <x:c r="D25" s="13"/>
      <x:c r="E25" s="13"/>
      <x:c r="F25" s="13"/>
    </x:row>
    <x:row r="26" ht="15" hidden="0" customHeight="1">
      <x:c r="A26" s="13"/>
      <x:c r="B26" s="13"/>
      <x:c r="C26" s="13"/>
      <x:c r="D26" s="13"/>
      <x:c r="E26" s="13"/>
      <x:c r="F26" s="13"/>
    </x:row>
    <x:row r="27" ht="15" hidden="0" customHeight="1">
      <x:c r="A27" s="13"/>
      <x:c r="B27" s="13"/>
      <x:c r="C27" s="13"/>
      <x:c r="D27" s="13"/>
      <x:c r="E27" s="13"/>
      <x:c r="F27" s="13"/>
    </x:row>
    <x:row r="28" ht="15" hidden="0" customHeight="1">
      <x:c r="A28" s="13"/>
      <x:c r="B28" s="13"/>
      <x:c r="C28" s="13"/>
      <x:c r="D28" s="13"/>
      <x:c r="E28" s="13"/>
      <x:c r="F28" s="13"/>
    </x:row>
    <x:row r="29" ht="15" hidden="0" customHeight="1">
      <x:c r="A29" s="13"/>
      <x:c r="B29" s="13"/>
      <x:c r="C29" s="13"/>
      <x:c r="D29" s="13"/>
      <x:c r="E29" s="13"/>
      <x:c r="F29" s="13"/>
    </x:row>
    <x:row r="30" ht="15" hidden="0" customHeight="1">
      <x:c r="A30" s="13"/>
      <x:c r="B30" s="13"/>
      <x:c r="C30" s="13"/>
      <x:c r="D30" s="13"/>
      <x:c r="E30" s="13"/>
      <x:c r="F30" s="13"/>
    </x:row>
    <x:row r="31" ht="15" hidden="0" customHeight="1">
      <x:c r="A31" s="13"/>
      <x:c r="B31" s="13"/>
      <x:c r="C31" s="13"/>
      <x:c r="D31" s="13"/>
      <x:c r="E31" s="13"/>
      <x:c r="F31" s="13"/>
    </x:row>
    <x:row r="32" ht="15" hidden="0" customHeight="1">
      <x:c r="A32" s="13"/>
      <x:c r="B32" s="13"/>
      <x:c r="C32" s="13"/>
      <x:c r="D32" s="13"/>
      <x:c r="E32" s="13"/>
      <x:c r="F32" s="13"/>
    </x:row>
    <x:row r="33" ht="15" hidden="0" customHeight="1">
      <x:c r="A33" s="13"/>
      <x:c r="B33" s="13"/>
      <x:c r="C33" s="13"/>
      <x:c r="D33" s="13"/>
      <x:c r="E33" s="13"/>
      <x:c r="F33" s="13"/>
    </x:row>
    <x:row r="34" ht="15" hidden="0" customHeight="1">
      <x:c r="A34" s="13"/>
      <x:c r="B34" s="13"/>
      <x:c r="C34" s="13"/>
      <x:c r="D34" s="13"/>
      <x:c r="E34" s="13"/>
      <x:c r="F34" s="13"/>
    </x:row>
    <x:row r="35" ht="15" hidden="0" customHeight="1">
      <x:c r="A35" s="13"/>
      <x:c r="B35" s="13"/>
      <x:c r="C35" s="13"/>
      <x:c r="D35" s="13"/>
      <x:c r="E35" s="13"/>
      <x:c r="F35" s="13"/>
    </x:row>
    <x:row r="36" ht="15" hidden="0" customHeight="1">
      <x:c r="A36" s="13"/>
      <x:c r="B36" s="13"/>
      <x:c r="C36" s="13"/>
      <x:c r="D36" s="13"/>
      <x:c r="E36" s="13"/>
      <x:c r="F36" s="13"/>
    </x:row>
    <x:row r="37" ht="15" hidden="0" customHeight="1">
      <x:c r="A37" s="13"/>
      <x:c r="B37" s="13"/>
      <x:c r="C37" s="13"/>
      <x:c r="D37" s="13"/>
      <x:c r="E37" s="13"/>
      <x:c r="F37" s="13"/>
    </x:row>
    <x:row r="38" ht="15" hidden="0" customHeight="1">
      <x:c r="A38" s="13"/>
      <x:c r="B38" s="13"/>
      <x:c r="C38" s="13"/>
      <x:c r="D38" s="13"/>
      <x:c r="E38" s="13"/>
      <x:c r="F38" s="13"/>
    </x:row>
    <x:row r="39" ht="15" hidden="0" customHeight="1">
      <x:c r="A39" s="13"/>
      <x:c r="B39" s="13"/>
      <x:c r="C39" s="13"/>
      <x:c r="D39" s="13"/>
      <x:c r="E39" s="13"/>
      <x:c r="F39" s="13"/>
    </x:row>
    <x:row r="40" ht="15" hidden="0" customHeight="1">
      <x:c r="A40" s="13"/>
      <x:c r="B40" s="13"/>
      <x:c r="C40" s="13"/>
      <x:c r="D40" s="13"/>
      <x:c r="E40" s="13"/>
      <x:c r="F40" s="13"/>
    </x:row>
  </x:sheetData>
  <x:pageMargins left="0.7" right="0.7" top="0.75" bottom="0.75" header="0.3" footer="0.3"/>
</x:worksheet>
</file>