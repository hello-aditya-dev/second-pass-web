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a5a9ad92a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a252f11afd4604"/>
    <x:sheet xmlns:r="http://schemas.openxmlformats.org/officeDocument/2006/relationships" name="WORKFLOWS" sheetId="2" r:id="R46a5229c7d4c4f43"/>
    <x:sheet xmlns:r="http://schemas.openxmlformats.org/officeDocument/2006/relationships" name="SOURCES" sheetId="3" r:id="R2dbda656f4c64b8f"/>
    <x:sheet xmlns:r="http://schemas.openxmlformats.org/officeDocument/2006/relationships" name="CAPABILITIES" sheetId="4" r:id="Rdfa5bc20f51b4839"/>
    <x:sheet xmlns:r="http://schemas.openxmlformats.org/officeDocument/2006/relationships" name="RESOURCES" sheetId="5" r:id="R06876fcf69db42cc"/>
    <x:sheet xmlns:r="http://schemas.openxmlformats.org/officeDocument/2006/relationships" name="CREDENTIALS" sheetId="6" r:id="R9893aba2b70f4bfc"/>
    <x:sheet xmlns:r="http://schemas.openxmlformats.org/officeDocument/2006/relationships" name="POLICIES" sheetId="7" r:id="R67c51408fcec4903"/>
    <x:sheet xmlns:r="http://schemas.openxmlformats.org/officeDocument/2006/relationships" name="APPROVALS" sheetId="8" r:id="R14eb5b56704b46b8"/>
    <x:sheet xmlns:r="http://schemas.openxmlformats.org/officeDocument/2006/relationships" name="REACHABILITY" sheetId="9" r:id="R39324bbef91d4e35"/>
    <x:sheet xmlns:r="http://schemas.openxmlformats.org/officeDocument/2006/relationships" name="OVERHANG" sheetId="10" r:id="Rd731116be72640d2"/>
    <x:sheet xmlns:r="http://schemas.openxmlformats.org/officeDocument/2006/relationships" name="SCENARIOS" sheetId="11" r:id="Rc910fc2e99a44f0c"/>
    <x:sheet xmlns:r="http://schemas.openxmlformats.org/officeDocument/2006/relationships" name="SOURCES_EVIDENCE" sheetId="12" r:id="R3a8a73748e51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1110F"/>
      <x:name val="Carlito"/>
    </x:font>
    <x:font>
      <x:i/>
      <x:sz val="11"/>
      <x:color rgb="FF5A5953"/>
      <x:name val="Carlito"/>
    </x:font>
    <x:font>
      <x:b/>
      <x:sz val="11"/>
      <x:color rgb="FFF2EFE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2EFE7"/>
      </x:patternFill>
    </x:fill>
    <x:fill>
      <x:patternFill patternType="solid">
        <x:fgColor rgb="FF11110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FFFFFF"/>
      </x:font>
      <x:fill>
        <x:patternFill patternType="solid">
          <x:bgColor rgb="FF2F5BFF"/>
        </x:patternFill>
      </x:fill>
    </x:dxf>
    <x:dxf>
      <x:font>
        <x:b/>
        <x:color rgb="FFFFFFFF"/>
      </x:font>
      <x:fill>
        <x:patternFill patternType="solid">
          <x:bgColor rgb="FF2F5B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b268dc9b841fb" /><Relationship Type="http://schemas.openxmlformats.org/officeDocument/2006/relationships/theme" Target="/xl/theme/theme1.xml" Id="R669e83605209489b" /><Relationship Type="http://schemas.openxmlformats.org/officeDocument/2006/relationships/sharedStrings" Target="/xl/sharedStrings.xml" Id="R0b9b8941fc3f4384" /><Relationship Type="http://schemas.openxmlformats.org/officeDocument/2006/relationships/worksheet" Target="/xl/worksheets/sheet1.xml" Id="R80a252f11afd4604" /><Relationship Type="http://schemas.openxmlformats.org/officeDocument/2006/relationships/worksheet" Target="/xl/worksheets/sheet2.xml" Id="R46a5229c7d4c4f43" /><Relationship Type="http://schemas.openxmlformats.org/officeDocument/2006/relationships/worksheet" Target="/xl/worksheets/sheet3.xml" Id="R2dbda656f4c64b8f" /><Relationship Type="http://schemas.openxmlformats.org/officeDocument/2006/relationships/worksheet" Target="/xl/worksheets/sheet4.xml" Id="Rdfa5bc20f51b4839" /><Relationship Type="http://schemas.openxmlformats.org/officeDocument/2006/relationships/worksheet" Target="/xl/worksheets/sheet5.xml" Id="R06876fcf69db42cc" /><Relationship Type="http://schemas.openxmlformats.org/officeDocument/2006/relationships/worksheet" Target="/xl/worksheets/sheet6.xml" Id="R9893aba2b70f4bfc" /><Relationship Type="http://schemas.openxmlformats.org/officeDocument/2006/relationships/worksheet" Target="/xl/worksheets/sheet7.xml" Id="R67c51408fcec4903" /><Relationship Type="http://schemas.openxmlformats.org/officeDocument/2006/relationships/worksheet" Target="/xl/worksheets/sheet8.xml" Id="R14eb5b56704b46b8" /><Relationship Type="http://schemas.openxmlformats.org/officeDocument/2006/relationships/worksheet" Target="/xl/worksheets/sheet9.xml" Id="R39324bbef91d4e35" /><Relationship Type="http://schemas.openxmlformats.org/officeDocument/2006/relationships/worksheet" Target="/xl/worksheets/sheet10.xml" Id="Rd731116be72640d2" /><Relationship Type="http://schemas.openxmlformats.org/officeDocument/2006/relationships/worksheet" Target="/xl/worksheets/sheet11.xml" Id="Rc910fc2e99a44f0c" /><Relationship Type="http://schemas.openxmlformats.org/officeDocument/2006/relationships/worksheet" Target="/xl/worksheets/sheet12.xml" Id="R3a8a73748e51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 ht="22" customHeight="1">
      <x:c r="A1" s="4" t="str">
        <x:v>SECOND / PASS — Agent Authority Blast Radius Model</x:v>
      </x:c>
      <x:c r="B1" s="4"/>
      <x:c r="C1" s="4"/>
      <x:c r="D1" s="4"/>
      <x:c r="E1" s="4"/>
      <x:c r="F1" s="4"/>
      <x:c r="G1" s="4"/>
      <x:c r="H1" s="4"/>
    </x:row>
    <x:row r="2" ht="22" customHeight="1">
      <x:c r="A2" s="9" t="str">
        <x:v>Defensive architecture workbook. It does not predict exploit probability and must not be used to label a system universally SECURE.</x:v>
      </x:c>
      <x:c r="B2" s="9"/>
      <x:c r="C2" s="9"/>
      <x:c r="D2" s="9"/>
      <x:c r="E2" s="9"/>
      <x:c r="F2" s="9"/>
      <x:c r="G2" s="9"/>
      <x:c r="H2" s="9"/>
    </x:row>
    <x:row r="3" ht="22" customHeight="1"/>
    <x:row r="4" ht="22" customHeight="1">
      <x:c r="A4" s="16" t="str">
        <x:v>Field</x:v>
      </x:c>
      <x:c r="B4" s="16" t="str">
        <x:v>Value</x:v>
      </x:c>
    </x:row>
    <x:row r="5" ht="22" customHeight="1">
      <x:c r="A5" s="22" t="str">
        <x:v>Version</x:v>
      </x:c>
      <x:c r="B5" s="22" t="str">
        <x:v>2026-08-10</x:v>
      </x:c>
    </x:row>
    <x:row r="6" ht="22" customHeight="1">
      <x:c r="A6" s="22" t="str">
        <x:v>Threat assumption</x:v>
      </x:c>
      <x:c r="B6" s="22" t="str">
        <x:v>Model successfully manipulated by untrusted content; deterministic external controls remain enforced</x:v>
      </x:c>
    </x:row>
    <x:row r="7" ht="22" customHeight="1">
      <x:c r="A7" s="22" t="str">
        <x:v>Primary output</x:v>
      </x:c>
      <x:c r="B7" s="22" t="str">
        <x:v>Autonomous / approval-gated / blocked / unknown source-to-sink reachability</x:v>
      </x:c>
    </x:row>
    <x:row r="8" ht="22" customHeight="1">
      <x:c r="A8" s="22" t="str">
        <x:v>Allowed verdicts</x:v>
      </x:c>
      <x:c r="B8" s="22" t="str">
        <x:v>NO PROHIBITED AUTONOMOUS PATH FOUND IN MODELED GRAPH; PROHIBITED PATH EXISTS; APPROVAL-GATED; INSUFFICIENT INPUT</x:v>
      </x:c>
    </x:row>
    <x:row r="9" ht="22" customHeight="1">
      <x:c r="A9" s="22" t="str">
        <x:v>Authority overhang</x:v>
      </x:c>
      <x:c r="B9" s="22" t="str">
        <x:v>Granted capability tuples that are not required by the legitimate workflow</x:v>
      </x:c>
    </x:row>
    <x:row r="10" ht="22" customHeight="1">
      <x:c r="A10" s="22" t="str">
        <x:v>Unknown handling</x:v>
      </x:c>
      <x:c r="B10" s="22" t="str">
        <x:v>UNKNOWN never silently becomes BLOCKED</x:v>
      </x:c>
    </x:row>
    <x:row r="11" ht="22" customHeight="1">
      <x:c r="A11" s="22" t="str">
        <x:v>Probability</x:v>
      </x:c>
      <x:c r="B11" s="22" t="str">
        <x:v>No attack-success probability is inferred from path existence</x:v>
      </x:c>
    </x:row>
    <x:row r="12" ht="22" customHeight="1">
      <x:c r="A12" s="22" t="str">
        <x:v>Edit cells</x:v>
      </x:c>
      <x:c r="B12" s="22" t="str">
        <x:v>White cells are scenario inputs; formula cells should remain intact</x:v>
      </x:c>
    </x:row>
    <x:row r="13" ht="22" customHeight="1">
      <x:c r="A13" s="22" t="str">
        <x:v>Public scenario</x:v>
      </x:c>
      <x:c r="B13" s="22" t="str">
        <x:v>Support ticket triage — deterministic teaching case, not a benchmark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34" hidden="0" customWidth="1"/>
    <x:col min="5" max="5" width="34" hidden="0" customWidth="1"/>
    <x:col min="6" max="6" width="22" hidden="0" customWidth="1"/>
    <x:col min="7" max="7" width="22" hidden="0" customWidth="1"/>
    <x:col min="8" max="8" width="42" hidden="0" customWidth="1"/>
  </x:cols>
  <x:sheetData>
    <x:row r="1">
      <x:c r="A1" s="16" t="str">
        <x:v>Workflow</x:v>
      </x:c>
      <x:c r="B1" s="16" t="str">
        <x:v>Legitimate objective</x:v>
      </x:c>
      <x:c r="C1" s="16" t="str">
        <x:v>Untrusted source</x:v>
      </x:c>
      <x:c r="D1" s="16" t="str">
        <x:v>Required action summary</x:v>
      </x:c>
      <x:c r="E1" s="16" t="str">
        <x:v>Pre-control authority</x:v>
      </x:c>
      <x:c r="F1" s="16" t="str">
        <x:v>Autonomous consequential sinks before</x:v>
      </x:c>
      <x:c r="G1" s="16" t="str">
        <x:v>Autonomous consequential sinks after</x:v>
      </x:c>
      <x:c r="H1" s="16" t="str">
        <x:v>Notes</x:v>
      </x:c>
    </x:row>
    <x:row r="2">
      <x:c r="A2" s="22" t="str">
        <x:v>A — Document summarizer</x:v>
      </x:c>
      <x:c r="B2" s="22" t="str">
        <x:v>Complete only the named workflow</x:v>
      </x:c>
      <x:c r="C2" s="22" t="str">
        <x:v>uploaded_document</x:v>
      </x:c>
      <x:c r="D2" s="22" t="str">
        <x:v>READ one document</x:v>
      </x:c>
      <x:c r="E2" s="22" t="str">
        <x:v>READ document only; no write; no network</x:v>
      </x:c>
      <x:c r="F2" s="22" t="n">
        <x:v>0</x:v>
      </x:c>
      <x:c r="G2" s="22" t="n">
        <x:v>0</x:v>
      </x:c>
      <x:c r="H2" s="22" t="str">
        <x:v>No consequential action sink in modeled workflow</x:v>
      </x:c>
    </x:row>
    <x:row r="3">
      <x:c r="A3" s="22" t="str">
        <x:v>B — Support triage</x:v>
      </x:c>
      <x:c r="B3" s="22" t="str">
        <x:v>Complete only the named workflow</x:v>
      </x:c>
      <x:c r="C3" s="22" t="str">
        <x:v>inbound_email</x:v>
      </x:c>
      <x:c r="D3" s="22" t="str">
        <x:v>READ scoped ticket + customer; WRITE same ticket</x:v>
      </x:c>
      <x:c r="E3" s="22" t="str">
        <x:v>Broad write/send/delete/execute/admin before containment</x:v>
      </x:c>
      <x:c r="F3" s="22" t="n">
        <x:v>5</x:v>
      </x:c>
      <x:c r="G3" s="22" t="n">
        <x:v>1</x:v>
      </x:c>
      <x:c r="H3" s="22" t="str">
        <x:v>After control: scoped ticket write autonomous; send approval-gated</x:v>
      </x:c>
    </x:row>
    <x:row r="4">
      <x:c r="A4" s="22" t="str">
        <x:v>C — Email assistant</x:v>
      </x:c>
      <x:c r="B4" s="22" t="str">
        <x:v>Complete only the named workflow</x:v>
      </x:c>
      <x:c r="C4" s="22" t="str">
        <x:v>inbound_email</x:v>
      </x:c>
      <x:c r="D4" s="22" t="str">
        <x:v>READ selected mailbox + SEND intended recipient</x:v>
      </x:c>
      <x:c r="E4" s="22" t="str">
        <x:v>Mailbox read + external send</x:v>
      </x:c>
      <x:c r="F4" s="22" t="n">
        <x:v>2</x:v>
      </x:c>
      <x:c r="G4" s="22" t="n">
        <x:v>1</x:v>
      </x:c>
      <x:c r="H4" s="22" t="str">
        <x:v>External send remains consequential and should expose destination/data for confirmation under policy</x:v>
      </x:c>
    </x:row>
    <x:row r="5">
      <x:c r="A5" s="22" t="str">
        <x:v>D — Operations agent</x:v>
      </x:c>
      <x:c r="B5" s="22" t="str">
        <x:v>Complete only the named workflow</x:v>
      </x:c>
      <x:c r="C5" s="22" t="str">
        <x:v>tool_or_mcp_result</x:v>
      </x:c>
      <x:c r="D5" s="22" t="str">
        <x:v>READ telemetry + bounded remediation</x:v>
      </x:c>
      <x:c r="E5" s="22" t="str">
        <x:v>Execute/deploy/admin if broadly granted</x:v>
      </x:c>
      <x:c r="F5" s="22" t="n">
        <x:v>4</x:v>
      </x:c>
      <x:c r="G5" s="22" t="n">
        <x:v>2</x:v>
      </x:c>
      <x:c r="H5" s="22" t="str">
        <x:v>High-risk actions should be independently policy-gated or blocked unless task requires them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52" hidden="0" customWidth="1"/>
  </x:cols>
  <x:sheetData>
    <x:row r="1">
      <x:c r="A1" s="16" t="str">
        <x:v>Source class</x:v>
      </x:c>
      <x:c r="B1" s="16" t="str">
        <x:v>Untrusted?</x:v>
      </x:c>
      <x:c r="C1" s="16" t="str">
        <x:v>Example role</x:v>
      </x:c>
      <x:c r="D1" s="16" t="str">
        <x:v>Can influence model?</x:v>
      </x:c>
      <x:c r="E1" s="16" t="str">
        <x:v>Notes</x:v>
      </x:c>
    </x:row>
    <x:row r="2">
      <x:c r="A2" s="22" t="str">
        <x:v>user_message</x:v>
      </x:c>
      <x:c r="B2" s="22" t="str">
        <x:v>YES</x:v>
      </x:c>
      <x:c r="C2" s="22" t="str">
        <x:v>Content entering context</x:v>
      </x:c>
      <x:c r="D2" s="22" t="str">
        <x:v>YES</x:v>
      </x:c>
      <x:c r="E2" s="22" t="str">
        <x:v>Treat as input influence source; exact trust depends on deployment</x:v>
      </x:c>
    </x:row>
    <x:row r="3">
      <x:c r="A3" s="22" t="str">
        <x:v>inbound_email</x:v>
      </x:c>
      <x:c r="B3" s="22" t="str">
        <x:v>YES</x:v>
      </x:c>
      <x:c r="C3" s="22" t="str">
        <x:v>Content entering context</x:v>
      </x:c>
      <x:c r="D3" s="22" t="str">
        <x:v>YES</x:v>
      </x:c>
      <x:c r="E3" s="22" t="str">
        <x:v>Treat as input influence source; exact trust depends on deployment</x:v>
      </x:c>
    </x:row>
    <x:row r="4">
      <x:c r="A4" s="22" t="str">
        <x:v>web_content</x:v>
      </x:c>
      <x:c r="B4" s="22" t="str">
        <x:v>YES</x:v>
      </x:c>
      <x:c r="C4" s="22" t="str">
        <x:v>Content entering context</x:v>
      </x:c>
      <x:c r="D4" s="22" t="str">
        <x:v>YES</x:v>
      </x:c>
      <x:c r="E4" s="22" t="str">
        <x:v>Treat as input influence source; exact trust depends on deployment</x:v>
      </x:c>
    </x:row>
    <x:row r="5">
      <x:c r="A5" s="22" t="str">
        <x:v>uploaded_document</x:v>
      </x:c>
      <x:c r="B5" s="22" t="str">
        <x:v>YES</x:v>
      </x:c>
      <x:c r="C5" s="22" t="str">
        <x:v>Content entering context</x:v>
      </x:c>
      <x:c r="D5" s="22" t="str">
        <x:v>YES</x:v>
      </x:c>
      <x:c r="E5" s="22" t="str">
        <x:v>Treat as input influence source; exact trust depends on deployment</x:v>
      </x:c>
    </x:row>
    <x:row r="6">
      <x:c r="A6" s="22" t="str">
        <x:v>retrieval_result</x:v>
      </x:c>
      <x:c r="B6" s="22" t="str">
        <x:v>YES</x:v>
      </x:c>
      <x:c r="C6" s="22" t="str">
        <x:v>Content entering context</x:v>
      </x:c>
      <x:c r="D6" s="22" t="str">
        <x:v>YES</x:v>
      </x:c>
      <x:c r="E6" s="22" t="str">
        <x:v>Treat as input influence source; exact trust depends on deployment</x:v>
      </x:c>
    </x:row>
    <x:row r="7">
      <x:c r="A7" s="22" t="str">
        <x:v>tool_or_mcp_result</x:v>
      </x:c>
      <x:c r="B7" s="22" t="str">
        <x:v>YES</x:v>
      </x:c>
      <x:c r="C7" s="22" t="str">
        <x:v>Content entering context</x:v>
      </x:c>
      <x:c r="D7" s="22" t="str">
        <x:v>YES</x:v>
      </x:c>
      <x:c r="E7" s="22" t="str">
        <x:v>Treat as input influence source; exact trust depends on deployment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6" hidden="0" customWidth="1"/>
  </x:cols>
  <x:sheetData>
    <x:row r="1">
      <x:c r="A1" s="16" t="str">
        <x:v>Workflow</x:v>
      </x:c>
      <x:c r="B1" s="16" t="str">
        <x:v>Action</x:v>
      </x:c>
      <x:c r="C1" s="16" t="str">
        <x:v>Resource</x:v>
      </x:c>
      <x:c r="D1" s="16" t="str">
        <x:v>Destination / scope</x:v>
      </x:c>
      <x:c r="E1" s="16" t="str">
        <x:v>Required?</x:v>
      </x:c>
      <x:c r="F1" s="16" t="str">
        <x:v>Granted?</x:v>
      </x:c>
      <x:c r="G1" s="16" t="str">
        <x:v>Overhang</x:v>
      </x:c>
      <x:c r="H1" s="16" t="str">
        <x:v>Operational treatment</x:v>
      </x:c>
    </x:row>
    <x:row r="2">
      <x:c r="A2" s="22" t="str">
        <x:v>Support ticket triage</x:v>
      </x:c>
      <x:c r="B2" s="22" t="str">
        <x:v>READ</x:v>
      </x:c>
      <x:c r="C2" s="22" t="str">
        <x:v>support_ticket</x:v>
      </x:c>
      <x:c r="D2" s="22" t="str">
        <x:v>same_ticket</x:v>
      </x:c>
      <x:c r="E2" s="22" t="str">
        <x:v>YES</x:v>
      </x:c>
      <x:c r="F2" s="22" t="str">
        <x:v>YES</x:v>
      </x:c>
      <x:c r="G2" s="22" t="str">
        <x:f>IF(AND(F2="YES",E2&lt;&gt;"YES"),"OVERHANG","")</x:f>
      </x:c>
      <x:c r="H2" s="22" t="str">
        <x:f>IF(G2="OVERHANG","REMOVE OR JUSTIFY",IF(E2="YES","REQUIRED","NOT GRANTED"))</x:f>
        <x:v>REQUIRED</x:v>
      </x:c>
    </x:row>
    <x:row r="3">
      <x:c r="A3" s="22" t="str">
        <x:v>Support ticket triage</x:v>
      </x:c>
      <x:c r="B3" s="22" t="str">
        <x:v>READ</x:v>
      </x:c>
      <x:c r="C3" s="22" t="str">
        <x:v>customer_profile</x:v>
      </x:c>
      <x:c r="D3" s="22" t="str">
        <x:v>same_tenant</x:v>
      </x:c>
      <x:c r="E3" s="22" t="str">
        <x:v>YES</x:v>
      </x:c>
      <x:c r="F3" s="22" t="str">
        <x:v>YES</x:v>
      </x:c>
      <x:c r="G3" s="22" t="str">
        <x:f>IF(AND(F3="YES",E3&lt;&gt;"YES"),"OVERHANG","")</x:f>
      </x:c>
      <x:c r="H3" s="22" t="str">
        <x:f>IF(G3="OVERHANG","REMOVE OR JUSTIFY",IF(E3="YES","REQUIRED","NOT GRANTED"))</x:f>
        <x:v>REQUIRED</x:v>
      </x:c>
    </x:row>
    <x:row r="4">
      <x:c r="A4" s="22" t="str">
        <x:v>Support ticket triage</x:v>
      </x:c>
      <x:c r="B4" s="22" t="str">
        <x:v>WRITE</x:v>
      </x:c>
      <x:c r="C4" s="22" t="str">
        <x:v>support_ticket</x:v>
      </x:c>
      <x:c r="D4" s="22" t="str">
        <x:v>same_ticket</x:v>
      </x:c>
      <x:c r="E4" s="22" t="str">
        <x:v>YES</x:v>
      </x:c>
      <x:c r="F4" s="22" t="str">
        <x:v>YES</x:v>
      </x:c>
      <x:c r="G4" s="22" t="str">
        <x:f>IF(AND(F4="YES",E4&lt;&gt;"YES"),"OVERHANG","")</x:f>
      </x:c>
      <x:c r="H4" s="22" t="str">
        <x:f>IF(G4="OVERHANG","REMOVE OR JUSTIFY",IF(E4="YES","REQUIRED","NOT GRANTED"))</x:f>
        <x:v>REQUIRED</x:v>
      </x:c>
    </x:row>
    <x:row r="5">
      <x:c r="A5" s="22" t="str">
        <x:v>Support ticket triage</x:v>
      </x:c>
      <x:c r="B5" s="22" t="str">
        <x:v>SEND</x:v>
      </x:c>
      <x:c r="C5" s="22" t="str">
        <x:v>email</x:v>
      </x:c>
      <x:c r="D5" s="22" t="str">
        <x:v>arbitrary_external</x:v>
      </x:c>
      <x:c r="E5" s="22" t="str">
        <x:v>NO</x:v>
      </x:c>
      <x:c r="F5" s="22" t="str">
        <x:v>YES</x:v>
      </x:c>
      <x:c r="G5" s="22" t="str">
        <x:f>IF(AND(F5="YES",E5&lt;&gt;"YES"),"OVERHANG","")</x:f>
        <x:v>OVERHANG</x:v>
      </x:c>
      <x:c r="H5" s="22" t="str">
        <x:f>IF(G5="OVERHANG","REMOVE OR JUSTIFY",IF(E5="YES","REQUIRED","NOT GRANTED"))</x:f>
        <x:v>REMOVE OR JUSTIFY</x:v>
      </x:c>
    </x:row>
    <x:row r="6">
      <x:c r="A6" s="22" t="str">
        <x:v>Support ticket triage</x:v>
      </x:c>
      <x:c r="B6" s="22" t="str">
        <x:v>DELETE</x:v>
      </x:c>
      <x:c r="C6" s="22" t="str">
        <x:v>support_ticket</x:v>
      </x:c>
      <x:c r="D6" s="22" t="str">
        <x:v>same_tenant</x:v>
      </x:c>
      <x:c r="E6" s="22" t="str">
        <x:v>NO</x:v>
      </x:c>
      <x:c r="F6" s="22" t="str">
        <x:v>YES</x:v>
      </x:c>
      <x:c r="G6" s="22" t="str">
        <x:f>IF(AND(F6="YES",E6&lt;&gt;"YES"),"OVERHANG","")</x:f>
        <x:v>OVERHANG</x:v>
      </x:c>
      <x:c r="H6" s="22" t="str">
        <x:f>IF(G6="OVERHANG","REMOVE OR JUSTIFY",IF(E6="YES","REQUIRED","NOT GRANTED"))</x:f>
        <x:v>REMOVE OR JUSTIFY</x:v>
      </x:c>
    </x:row>
    <x:row r="7">
      <x:c r="A7" s="22" t="str">
        <x:v>Support ticket triage</x:v>
      </x:c>
      <x:c r="B7" s="22" t="str">
        <x:v>EXECUTE</x:v>
      </x:c>
      <x:c r="C7" s="22" t="str">
        <x:v>code</x:v>
      </x:c>
      <x:c r="D7" s="22" t="str">
        <x:v>host_environment</x:v>
      </x:c>
      <x:c r="E7" s="22" t="str">
        <x:v>NO</x:v>
      </x:c>
      <x:c r="F7" s="22" t="str">
        <x:v>YES</x:v>
      </x:c>
      <x:c r="G7" s="22" t="str">
        <x:f>IF(AND(F7="YES",E7&lt;&gt;"YES"),"OVERHANG","")</x:f>
        <x:v>OVERHANG</x:v>
      </x:c>
      <x:c r="H7" s="22" t="str">
        <x:f>IF(G7="OVERHANG","REMOVE OR JUSTIFY",IF(E7="YES","REQUIRED","NOT GRANTED"))</x:f>
        <x:v>REMOVE OR JUSTIFY</x:v>
      </x:c>
    </x:row>
    <x:row r="8">
      <x:c r="A8" s="22" t="str">
        <x:v>Support ticket triage</x:v>
      </x:c>
      <x:c r="B8" s="22" t="str">
        <x:v>ADMIN</x:v>
      </x:c>
      <x:c r="C8" s="22" t="str">
        <x:v>account_permissions</x:v>
      </x:c>
      <x:c r="D8" s="22" t="str">
        <x:v>workspace</x:v>
      </x:c>
      <x:c r="E8" s="22" t="str">
        <x:v>NO</x:v>
      </x:c>
      <x:c r="F8" s="22" t="str">
        <x:v>YES</x:v>
      </x:c>
      <x:c r="G8" s="22" t="str">
        <x:f>IF(AND(F8="YES",E8&lt;&gt;"YES"),"OVERHANG","")</x:f>
        <x:v>OVERHANG</x:v>
      </x:c>
      <x:c r="H8" s="22" t="str">
        <x:f>IF(G8="OVERHANG","REMOVE OR JUSTIFY",IF(E8="YES","REQUIRED","NOT GRANTED"))</x:f>
        <x:v>REMOVE OR JUSTIFY</x:v>
      </x:c>
    </x:row>
    <x:row r="9">
      <x:c r="A9" s="22" t="str">
        <x:v>Support ticket triage</x:v>
      </x:c>
      <x:c r="B9" s="22" t="str">
        <x:v>NETWORK</x:v>
      </x:c>
      <x:c r="C9" s="22" t="str">
        <x:v>http</x:v>
      </x:c>
      <x:c r="D9" s="22" t="str">
        <x:v>arbitrary_internet</x:v>
      </x:c>
      <x:c r="E9" s="22" t="str">
        <x:v>NO</x:v>
      </x:c>
      <x:c r="F9" s="22" t="str">
        <x:v>YES</x:v>
      </x:c>
      <x:c r="G9" s="22" t="str">
        <x:f>IF(AND(F9="YES",E9&lt;&gt;"YES"),"OVERHANG","")</x:f>
        <x:v>OVERHANG</x:v>
      </x:c>
      <x:c r="H9" s="22" t="str">
        <x:f>IF(G9="OVERHANG","REMOVE OR JUSTIFY",IF(E9="YES","REQUIRED","NOT GRANTED"))</x:f>
        <x:v>REMOVE OR JUSTIFY</x:v>
      </x:c>
    </x:row>
  </x:sheetData>
  <x:conditionalFormatting sqref="G2:G9">
    <x:cfRule type="expression" dxfId="0" priority="1">
      <x:formula>G2="OVERHANG"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34" hidden="0" customWidth="1"/>
    <x:col min="5" max="5" width="25" hidden="0" customWidth="1"/>
  </x:cols>
  <x:sheetData>
    <x:row r="1">
      <x:c r="A1" s="16" t="str">
        <x:v>Resource</x:v>
      </x:c>
      <x:c r="B1" s="16" t="str">
        <x:v>Required scope</x:v>
      </x:c>
      <x:c r="C1" s="16" t="str">
        <x:v>Pre-control scope</x:v>
      </x:c>
      <x:c r="D1" s="16" t="str">
        <x:v>After-control scope</x:v>
      </x:c>
      <x:c r="E1" s="16" t="str">
        <x:v>Unknown?</x:v>
      </x:c>
    </x:row>
    <x:row r="2">
      <x:c r="A2" s="22" t="str">
        <x:v>support_ticket</x:v>
      </x:c>
      <x:c r="B2" s="22" t="str">
        <x:v>same_ticket</x:v>
      </x:c>
      <x:c r="C2" s="22" t="str">
        <x:v>same_tenant delete/write</x:v>
      </x:c>
      <x:c r="D2" s="22" t="str">
        <x:v>same_ticket write</x:v>
      </x:c>
      <x:c r="E2" s="22" t="str">
        <x:v>NO</x:v>
      </x:c>
    </x:row>
    <x:row r="3">
      <x:c r="A3" s="22" t="str">
        <x:v>customer_profile</x:v>
      </x:c>
      <x:c r="B3" s="22" t="str">
        <x:v>same_tenant read</x:v>
      </x:c>
      <x:c r="C3" s="22" t="str">
        <x:v>workspace-wide read</x:v>
      </x:c>
      <x:c r="D3" s="22" t="str">
        <x:v>same_tenant read</x:v>
      </x:c>
      <x:c r="E3" s="22" t="str">
        <x:v>NO</x:v>
      </x:c>
    </x:row>
    <x:row r="4">
      <x:c r="A4" s="22" t="str">
        <x:v>email</x:v>
      </x:c>
      <x:c r="B4" s="22" t="str">
        <x:v>not required</x:v>
      </x:c>
      <x:c r="C4" s="22" t="str">
        <x:v>arbitrary external send</x:v>
      </x:c>
      <x:c r="D4" s="22" t="str">
        <x:v>approval-gated intended recipient only</x:v>
      </x:c>
      <x:c r="E4" s="22" t="str">
        <x:v>NO</x:v>
      </x:c>
    </x:row>
    <x:row r="5">
      <x:c r="A5" s="22" t="str">
        <x:v>host_environment</x:v>
      </x:c>
      <x:c r="B5" s="22" t="str">
        <x:v>not required</x:v>
      </x:c>
      <x:c r="C5" s="22" t="str">
        <x:v>execute</x:v>
      </x:c>
      <x:c r="D5" s="22" t="str">
        <x:v>none</x:v>
      </x:c>
      <x:c r="E5" s="22" t="str">
        <x:v>NO</x:v>
      </x:c>
    </x:row>
    <x:row r="6">
      <x:c r="A6" s="22" t="str">
        <x:v>account_permissions</x:v>
      </x:c>
      <x:c r="B6" s="22" t="str">
        <x:v>not required</x:v>
      </x:c>
      <x:c r="C6" s="22" t="str">
        <x:v>workspace admin</x:v>
      </x:c>
      <x:c r="D6" s="22" t="str">
        <x:v>none</x:v>
      </x:c>
      <x:c r="E6" s="22" t="str">
        <x:v>NO</x:v>
      </x:c>
    </x:row>
    <x:row r="7">
      <x:c r="A7" s="22" t="str">
        <x:v>network</x:v>
      </x:c>
      <x:c r="B7" s="22" t="str">
        <x:v>only required API endpoints</x:v>
      </x:c>
      <x:c r="C7" s="22" t="str">
        <x:v>arbitrary Internet</x:v>
      </x:c>
      <x:c r="D7" s="22" t="str">
        <x:v>allowlisted required endpoints</x:v>
      </x:c>
      <x:c r="E7" s="22" t="str">
        <x:v>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2" hidden="0" customWidth="1"/>
  </x:cols>
  <x:sheetData>
    <x:row r="1">
      <x:c r="A1" s="16" t="str">
        <x:v>Credential</x:v>
      </x:c>
      <x:c r="B1" s="16" t="str">
        <x:v>Audience / resource</x:v>
      </x:c>
      <x:c r="C1" s="16" t="str">
        <x:v>Scopes</x:v>
      </x:c>
      <x:c r="D1" s="16" t="str">
        <x:v>Resource scope</x:v>
      </x:c>
      <x:c r="E1" s="16" t="str">
        <x:v>TTL</x:v>
      </x:c>
      <x:c r="F1" s="16" t="str">
        <x:v>Refresh</x:v>
      </x:c>
      <x:c r="G1" s="16" t="str">
        <x:v>Storage</x:v>
      </x:c>
      <x:c r="H1" s="16" t="str">
        <x:v>State</x:v>
      </x:c>
      <x:c r="I1" s="16" t="str">
        <x:v>Finding</x:v>
      </x:c>
    </x:row>
    <x:row r="2">
      <x:c r="A2" s="22" t="str">
        <x:v>support-agent-token</x:v>
      </x:c>
      <x:c r="B2" s="22" t="str">
        <x:v>crm-api</x:v>
      </x:c>
      <x:c r="C2" s="22" t="str">
        <x:v>read:ticket read:customer write:ticket send:email delete:ticket admin:*</x:v>
      </x:c>
      <x:c r="D2" s="22" t="str">
        <x:v>workspace-wide</x:v>
      </x:c>
      <x:c r="E2" s="22" t="str">
        <x:v>60 min</x:v>
      </x:c>
      <x:c r="F2" s="22" t="str">
        <x:v>no</x:v>
      </x:c>
      <x:c r="G2" s="22" t="str">
        <x:v>secret manager</x:v>
      </x:c>
      <x:c r="H2" s="22" t="str">
        <x:v>BEFORE</x:v>
      </x:c>
      <x:c r="I2" s="22" t="str">
        <x:v>Broad scopes exceed workflow requirement</x:v>
      </x:c>
    </x:row>
    <x:row r="3">
      <x:c r="A3" s="22" t="str">
        <x:v>support-agent-token-scoped</x:v>
      </x:c>
      <x:c r="B3" s="22" t="str">
        <x:v>crm-api</x:v>
      </x:c>
      <x:c r="C3" s="22" t="str">
        <x:v>read:ticket read:customer write:ticket</x:v>
      </x:c>
      <x:c r="D3" s="22" t="str">
        <x:v>same tenant / ticket constrained</x:v>
      </x:c>
      <x:c r="E3" s="22" t="str">
        <x:v>15 min</x:v>
      </x:c>
      <x:c r="F3" s="22" t="str">
        <x:v>no</x:v>
      </x:c>
      <x:c r="G3" s="22" t="str">
        <x:v>secret manager</x:v>
      </x:c>
      <x:c r="H3" s="22" t="str">
        <x:v>AFTER</x:v>
      </x:c>
      <x:c r="I3" s="22" t="str">
        <x:v>Task-scoped baseline</x:v>
      </x:c>
    </x:row>
    <x:row r="4">
      <x:c r="A4" s="22" t="str">
        <x:v>mcp-access-token</x:v>
      </x:c>
      <x:c r="B4" s="22" t="str">
        <x:v>https://mcp.example.com</x:v>
      </x:c>
      <x:c r="C4" s="22" t="str">
        <x:v>tool-specific scopes</x:v>
      </x:c>
      <x:c r="D4" s="22" t="str">
        <x:v>specific MCP resource URI</x:v>
      </x:c>
      <x:c r="E4" s="22" t="str">
        <x:v>short-lived</x:v>
      </x:c>
      <x:c r="F4" s="22" t="str">
        <x:v>implementation-dependent</x:v>
      </x:c>
      <x:c r="G4" s="22" t="str">
        <x:v>secure token store</x:v>
      </x:c>
      <x:c r="H4" s="22" t="str">
        <x:v>TARGET</x:v>
      </x:c>
      <x:c r="I4" s="22" t="str">
        <x:v>Audience/resource binding required; no passthrough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6" hidden="0" customWidth="1"/>
    <x:col min="5" max="5" width="36" hidden="0" customWidth="1"/>
  </x:cols>
  <x:sheetData>
    <x:row r="1">
      <x:c r="A1" s="16" t="str">
        <x:v>Policy edge</x:v>
      </x:c>
      <x:c r="B1" s="16" t="str">
        <x:v>Before</x:v>
      </x:c>
      <x:c r="C1" s="16" t="str">
        <x:v>After</x:v>
      </x:c>
      <x:c r="D1" s="16" t="str">
        <x:v>External enforcement</x:v>
      </x:c>
      <x:c r="E1" s="16" t="str">
        <x:v>Effect</x:v>
      </x:c>
    </x:row>
    <x:row r="2">
      <x:c r="A2" s="22" t="str">
        <x:v>Ticket write scope</x:v>
      </x:c>
      <x:c r="B2" s="22" t="str">
        <x:v>same tenant</x:v>
      </x:c>
      <x:c r="C2" s="22" t="str">
        <x:v>same ticket</x:v>
      </x:c>
      <x:c r="D2" s="22" t="str">
        <x:v>CRM ACL / route policy</x:v>
      </x:c>
      <x:c r="E2" s="22" t="str">
        <x:v>narrows write resource</x:v>
      </x:c>
    </x:row>
    <x:row r="3">
      <x:c r="A3" s="22" t="str">
        <x:v>External send</x:v>
      </x:c>
      <x:c r="B3" s="22" t="str">
        <x:v>autonomous</x:v>
      </x:c>
      <x:c r="C3" s="22" t="str">
        <x:v>approval-gated</x:v>
      </x:c>
      <x:c r="D3" s="22" t="str">
        <x:v>independent approval token</x:v>
      </x:c>
      <x:c r="E3" s="22" t="str">
        <x:v>removes SEND_EXTERNAL from autonomous set</x:v>
      </x:c>
    </x:row>
    <x:row r="4">
      <x:c r="A4" s="22" t="str">
        <x:v>Delete</x:v>
      </x:c>
      <x:c r="B4" s="22" t="str">
        <x:v>allowed</x:v>
      </x:c>
      <x:c r="C4" s="22" t="str">
        <x:v>blocked</x:v>
      </x:c>
      <x:c r="D4" s="22" t="str">
        <x:v>credential lacks delete scope</x:v>
      </x:c>
      <x:c r="E4" s="22" t="str">
        <x:v>removes DELETE_RECORD</x:v>
      </x:c>
    </x:row>
    <x:row r="5">
      <x:c r="A5" s="22" t="str">
        <x:v>Execute</x:v>
      </x:c>
      <x:c r="B5" s="22" t="str">
        <x:v>host execution</x:v>
      </x:c>
      <x:c r="C5" s="22" t="str">
        <x:v>blocked</x:v>
      </x:c>
      <x:c r="D5" s="22" t="str">
        <x:v>tool absent + sandbox policy</x:v>
      </x:c>
      <x:c r="E5" s="22" t="str">
        <x:v>removes EXECUTE_CODE</x:v>
      </x:c>
    </x:row>
    <x:row r="6">
      <x:c r="A6" s="22" t="str">
        <x:v>Admin</x:v>
      </x:c>
      <x:c r="B6" s="22" t="str">
        <x:v>workspace admin</x:v>
      </x:c>
      <x:c r="C6" s="22" t="str">
        <x:v>blocked</x:v>
      </x:c>
      <x:c r="D6" s="22" t="str">
        <x:v>credential lacks admin scope</x:v>
      </x:c>
      <x:c r="E6" s="22" t="str">
        <x:v>removes ADMIN_CHANGE</x:v>
      </x:c>
    </x:row>
    <x:row r="7">
      <x:c r="A7" s="22" t="str">
        <x:v>Network</x:v>
      </x:c>
      <x:c r="B7" s="22" t="str">
        <x:v>arbitrary Internet</x:v>
      </x:c>
      <x:c r="C7" s="22" t="str">
        <x:v>allowlist</x:v>
      </x:c>
      <x:c r="D7" s="22" t="str">
        <x:v>egress policy</x:v>
      </x:c>
      <x:c r="E7" s="22" t="str">
        <x:v>removes arbitrary external destinations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2" hidden="0" customWidth="1"/>
  </x:cols>
  <x:sheetData>
    <x:row r="1">
      <x:c r="A1" s="16" t="str">
        <x:v>Sink</x:v>
      </x:c>
      <x:c r="B1" s="16" t="str">
        <x:v>Necessary for workflow?</x:v>
      </x:c>
      <x:c r="C1" s="16" t="str">
        <x:v>After-control state</x:v>
      </x:c>
      <x:c r="D1" s="16" t="str">
        <x:v>Independent gate?</x:v>
      </x:c>
      <x:c r="E1" s="16" t="str">
        <x:v>Approval context required</x:v>
      </x:c>
    </x:row>
    <x:row r="2">
      <x:c r="A2" s="22" t="str">
        <x:v>INTERNAL_WRITE</x:v>
      </x:c>
      <x:c r="B2" s="22" t="str">
        <x:v>YES</x:v>
      </x:c>
      <x:c r="C2" s="22" t="str">
        <x:v>AUTONOMOUS</x:v>
      </x:c>
      <x:c r="D2" s="22" t="str">
        <x:v>N/A</x:v>
      </x:c>
      <x:c r="E2" s="22" t="str">
        <x:v>Resource and tenant policy enforced</x:v>
      </x:c>
    </x:row>
    <x:row r="3">
      <x:c r="A3" s="22" t="str">
        <x:v>SEND_EXTERNAL</x:v>
      </x:c>
      <x:c r="B3" s="22" t="str">
        <x:v>NO for base workflow</x:v>
      </x:c>
      <x:c r="C3" s="22" t="str">
        <x:v>APPROVAL-GATED</x:v>
      </x:c>
      <x:c r="D3" s="22" t="str">
        <x:v>YES</x:v>
      </x:c>
      <x:c r="E3" s="22" t="str">
        <x:v>Exact action, recipient/destination, data transmitted, consequence</x:v>
      </x:c>
    </x:row>
    <x:row r="4">
      <x:c r="A4" s="22" t="str">
        <x:v>DELETE_RECORD</x:v>
      </x:c>
      <x:c r="B4" s="22" t="str">
        <x:v>NO</x:v>
      </x:c>
      <x:c r="C4" s="22" t="str">
        <x:v>BLOCKED</x:v>
      </x:c>
      <x:c r="D4" s="22" t="str">
        <x:v>N/A</x:v>
      </x:c>
      <x:c r="E4" s="22" t="str">
        <x:v>No delete scope</x:v>
      </x:c>
    </x:row>
    <x:row r="5">
      <x:c r="A5" s="22" t="str">
        <x:v>EXECUTE_CODE</x:v>
      </x:c>
      <x:c r="B5" s="22" t="str">
        <x:v>NO</x:v>
      </x:c>
      <x:c r="C5" s="22" t="str">
        <x:v>BLOCKED</x:v>
      </x:c>
      <x:c r="D5" s="22" t="str">
        <x:v>N/A</x:v>
      </x:c>
      <x:c r="E5" s="22" t="str">
        <x:v>No execution tool</x:v>
      </x:c>
    </x:row>
    <x:row r="6">
      <x:c r="A6" s="22" t="str">
        <x:v>ADMIN_CHANGE</x:v>
      </x:c>
      <x:c r="B6" s="22" t="str">
        <x:v>NO</x:v>
      </x:c>
      <x:c r="C6" s="22" t="str">
        <x:v>BLOCKED</x:v>
      </x:c>
      <x:c r="D6" s="22" t="str">
        <x:v>N/A</x:v>
      </x:c>
      <x:c r="E6" s="22" t="str">
        <x:v>No admin scope</x:v>
      </x:c>
    </x:row>
    <x:row r="7">
      <x:c r="A7" s="22" t="str">
        <x:v>PURCHASE_OR_TRANSFER</x:v>
      </x:c>
      <x:c r="B7" s="22" t="str">
        <x:v>NO</x:v>
      </x:c>
      <x:c r="C7" s="22" t="str">
        <x:v>BLOCKED</x:v>
      </x:c>
      <x:c r="D7" s="22" t="str">
        <x:v>N/A</x:v>
      </x:c>
      <x:c r="E7" s="22" t="str">
        <x:v>No financial tool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6" hidden="0" customWidth="1"/>
  </x:cols>
  <x:sheetData>
    <x:row r="1">
      <x:c r="A1" s="16" t="str">
        <x:v>Source</x:v>
      </x:c>
      <x:c r="B1" s="16" t="str">
        <x:v>INTERNAL_WRITE</x:v>
      </x:c>
      <x:c r="C1" s="16" t="str">
        <x:v>SEND_EXTERNAL</x:v>
      </x:c>
      <x:c r="D1" s="16" t="str">
        <x:v>DELETE_RECORD</x:v>
      </x:c>
      <x:c r="E1" s="16" t="str">
        <x:v>EXECUTE_CODE</x:v>
      </x:c>
      <x:c r="F1" s="16" t="str">
        <x:v>ADMIN_CHANGE</x:v>
      </x:c>
      <x:c r="G1" s="16" t="str">
        <x:v>PURCHASE_OR_TRANSFER</x:v>
      </x:c>
      <x:c r="H1" s="16" t="str">
        <x:v>Autonomous prohibited count</x:v>
      </x:c>
      <x:c r="I1" s="16" t="str">
        <x:v>Verdict</x:v>
      </x:c>
    </x:row>
    <x:row r="2">
      <x:c r="A2" s="22" t="str">
        <x:v>user_message</x:v>
      </x:c>
      <x:c r="B2" s="22" t="str">
        <x:v>AUTONOMOUS</x:v>
      </x:c>
      <x:c r="C2" s="22" t="str">
        <x:v>APPROVAL-GATED</x:v>
      </x:c>
      <x:c r="D2" s="22" t="str">
        <x:v>BLOCKED</x:v>
      </x:c>
      <x:c r="E2" s="22" t="str">
        <x:v>BLOCKED</x:v>
      </x:c>
      <x:c r="F2" s="22" t="str">
        <x:v>BLOCKED</x:v>
      </x:c>
      <x:c r="G2" s="22" t="str">
        <x:v>BLOCKED</x:v>
      </x:c>
      <x:c r="H2" s="22" t="n">
        <x:f>COUNTIF(C2:G2,"AUTONOMOUS")</x:f>
        <x:v>0</x:v>
      </x:c>
      <x:c r="I2" s="22" t="str">
        <x:f>IF(COUNTIF(B2:G2,"UNKNOWN")&gt;0,"INSUFFICIENT INPUT",IF(H2&gt;0,"PROHIBITED PATH EXISTS",IF(COUNTIF(C2:G2,"APPROVAL-GATED")&gt;0,"APPROVAL-GATED","NO PROHIBITED AUTONOMOUS PATH FOUND IN MODELED GRAPH")))</x:f>
        <x:v>APPROVAL-GATED</x:v>
      </x:c>
    </x:row>
    <x:row r="3">
      <x:c r="A3" s="22" t="str">
        <x:v>inbound_email</x:v>
      </x:c>
      <x:c r="B3" s="22" t="str">
        <x:v>AUTONOMOUS</x:v>
      </x:c>
      <x:c r="C3" s="22" t="str">
        <x:v>APPROVAL-GATED</x:v>
      </x:c>
      <x:c r="D3" s="22" t="str">
        <x:v>BLOCKED</x:v>
      </x:c>
      <x:c r="E3" s="22" t="str">
        <x:v>BLOCKED</x:v>
      </x:c>
      <x:c r="F3" s="22" t="str">
        <x:v>BLOCKED</x:v>
      </x:c>
      <x:c r="G3" s="22" t="str">
        <x:v>BLOCKED</x:v>
      </x:c>
      <x:c r="H3" s="22" t="n">
        <x:f>COUNTIF(C3:G3,"AUTONOMOUS")</x:f>
        <x:v>0</x:v>
      </x:c>
      <x:c r="I3" s="22" t="str">
        <x:f>IF(COUNTIF(B3:G3,"UNKNOWN")&gt;0,"INSUFFICIENT INPUT",IF(H3&gt;0,"PROHIBITED PATH EXISTS",IF(COUNTIF(C3:G3,"APPROVAL-GATED")&gt;0,"APPROVAL-GATED","NO PROHIBITED AUTONOMOUS PATH FOUND IN MODELED GRAPH")))</x:f>
        <x:v>APPROVAL-GATED</x:v>
      </x:c>
    </x:row>
    <x:row r="4">
      <x:c r="A4" s="22" t="str">
        <x:v>web_content</x:v>
      </x:c>
      <x:c r="B4" s="22" t="str">
        <x:v>AUTONOMOUS</x:v>
      </x:c>
      <x:c r="C4" s="22" t="str">
        <x:v>APPROVAL-GATED</x:v>
      </x:c>
      <x:c r="D4" s="22" t="str">
        <x:v>BLOCKED</x:v>
      </x:c>
      <x:c r="E4" s="22" t="str">
        <x:v>BLOCKED</x:v>
      </x:c>
      <x:c r="F4" s="22" t="str">
        <x:v>BLOCKED</x:v>
      </x:c>
      <x:c r="G4" s="22" t="str">
        <x:v>BLOCKED</x:v>
      </x:c>
      <x:c r="H4" s="22" t="n">
        <x:f>COUNTIF(C4:G4,"AUTONOMOUS")</x:f>
        <x:v>0</x:v>
      </x:c>
      <x:c r="I4" s="22" t="str">
        <x:f>IF(COUNTIF(B4:G4,"UNKNOWN")&gt;0,"INSUFFICIENT INPUT",IF(H4&gt;0,"PROHIBITED PATH EXISTS",IF(COUNTIF(C4:G4,"APPROVAL-GATED")&gt;0,"APPROVAL-GATED","NO PROHIBITED AUTONOMOUS PATH FOUND IN MODELED GRAPH")))</x:f>
        <x:v>APPROVAL-GATED</x:v>
      </x:c>
    </x:row>
    <x:row r="5">
      <x:c r="A5" s="22" t="str">
        <x:v>uploaded_document</x:v>
      </x:c>
      <x:c r="B5" s="22" t="str">
        <x:v>AUTONOMOUS</x:v>
      </x:c>
      <x:c r="C5" s="22" t="str">
        <x:v>APPROVAL-GATED</x:v>
      </x:c>
      <x:c r="D5" s="22" t="str">
        <x:v>BLOCKED</x:v>
      </x:c>
      <x:c r="E5" s="22" t="str">
        <x:v>BLOCKED</x:v>
      </x:c>
      <x:c r="F5" s="22" t="str">
        <x:v>BLOCKED</x:v>
      </x:c>
      <x:c r="G5" s="22" t="str">
        <x:v>BLOCKED</x:v>
      </x:c>
      <x:c r="H5" s="22" t="n">
        <x:f>COUNTIF(C5:G5,"AUTONOMOUS")</x:f>
        <x:v>0</x:v>
      </x:c>
      <x:c r="I5" s="22" t="str">
        <x:f>IF(COUNTIF(B5:G5,"UNKNOWN")&gt;0,"INSUFFICIENT INPUT",IF(H5&gt;0,"PROHIBITED PATH EXISTS",IF(COUNTIF(C5:G5,"APPROVAL-GATED")&gt;0,"APPROVAL-GATED","NO PROHIBITED AUTONOMOUS PATH FOUND IN MODELED GRAPH")))</x:f>
        <x:v>APPROVAL-GATED</x:v>
      </x:c>
    </x:row>
    <x:row r="6">
      <x:c r="A6" s="22" t="str">
        <x:v>retrieval_result</x:v>
      </x:c>
      <x:c r="B6" s="22" t="str">
        <x:v>AUTONOMOUS</x:v>
      </x:c>
      <x:c r="C6" s="22" t="str">
        <x:v>APPROVAL-GATED</x:v>
      </x:c>
      <x:c r="D6" s="22" t="str">
        <x:v>BLOCKED</x:v>
      </x:c>
      <x:c r="E6" s="22" t="str">
        <x:v>BLOCKED</x:v>
      </x:c>
      <x:c r="F6" s="22" t="str">
        <x:v>BLOCKED</x:v>
      </x:c>
      <x:c r="G6" s="22" t="str">
        <x:v>BLOCKED</x:v>
      </x:c>
      <x:c r="H6" s="22" t="n">
        <x:f>COUNTIF(C6:G6,"AUTONOMOUS")</x:f>
        <x:v>0</x:v>
      </x:c>
      <x:c r="I6" s="22" t="str">
        <x:f>IF(COUNTIF(B6:G6,"UNKNOWN")&gt;0,"INSUFFICIENT INPUT",IF(H6&gt;0,"PROHIBITED PATH EXISTS",IF(COUNTIF(C6:G6,"APPROVAL-GATED")&gt;0,"APPROVAL-GATED","NO PROHIBITED AUTONOMOUS PATH FOUND IN MODELED GRAPH")))</x:f>
        <x:v>APPROVAL-GATED</x:v>
      </x:c>
    </x:row>
    <x:row r="7">
      <x:c r="A7" s="22" t="str">
        <x:v>tool_or_mcp_result</x:v>
      </x:c>
      <x:c r="B7" s="22" t="str">
        <x:v>AUTONOMOUS</x:v>
      </x:c>
      <x:c r="C7" s="22" t="str">
        <x:v>APPROVAL-GATED</x:v>
      </x:c>
      <x:c r="D7" s="22" t="str">
        <x:v>BLOCKED</x:v>
      </x:c>
      <x:c r="E7" s="22" t="str">
        <x:v>BLOCKED</x:v>
      </x:c>
      <x:c r="F7" s="22" t="str">
        <x:v>BLOCKED</x:v>
      </x:c>
      <x:c r="G7" s="22" t="str">
        <x:v>BLOCKED</x:v>
      </x:c>
      <x:c r="H7" s="22" t="n">
        <x:f>COUNTIF(C7:G7,"AUTONOMOUS")</x:f>
        <x:v>0</x:v>
      </x:c>
      <x:c r="I7" s="22" t="str">
        <x:f>IF(COUNTIF(B7:G7,"UNKNOWN")&gt;0,"INSUFFICIENT INPUT",IF(H7&gt;0,"PROHIBITED PATH EXISTS",IF(COUNTIF(C7:G7,"APPROVAL-GATED")&gt;0,"APPROVAL-GATED","NO PROHIBITED AUTONOMOUS PATH FOUND IN MODELED GRAPH")))</x:f>
        <x:v>APPROVAL-GATED</x:v>
      </x:c>
    </x:row>
    <x:row r="8">
      <x:c r="A8" s="22" t="str">
        <x:v>UNKNOWN TEST</x:v>
      </x:c>
      <x:c r="B8" s="22" t="str">
        <x:v>AUTONOMOUS</x:v>
      </x:c>
      <x:c r="C8" s="22" t="str">
        <x:v>UNKNOWN</x:v>
      </x:c>
      <x:c r="D8" s="22" t="str">
        <x:v>BLOCKED</x:v>
      </x:c>
      <x:c r="E8" s="22" t="str">
        <x:v>BLOCKED</x:v>
      </x:c>
      <x:c r="F8" s="22" t="str">
        <x:v>BLOCKED</x:v>
      </x:c>
      <x:c r="G8" s="22" t="str">
        <x:v>BLOCKED</x:v>
      </x:c>
      <x:c r="H8" s="22" t="n">
        <x:f>COUNTIF(C8:G8,"AUTONOMOUS")</x:f>
        <x:v>0</x:v>
      </x:c>
      <x:c r="I8" s="22" t="str">
        <x:f>IF(COUNTIF(B8:G8,"UNKNOWN")&gt;0,"INSUFFICIENT INPUT",IF(H8&gt;0,"PROHIBITED PATH EXISTS",IF(COUNTIF(C8:G8,"APPROVAL-GATED")&gt;0,"APPROVAL-GATED","NO PROHIBITED AUTONOMOUS PATH FOUND IN MODELED GRAPH")))</x:f>
        <x:v>INSUFFICIENT INPUT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6" t="str">
        <x:v>Action</x:v>
      </x:c>
      <x:c r="B1" s="16" t="str">
        <x:v>Resource</x:v>
      </x:c>
      <x:c r="C1" s="16" t="str">
        <x:v>Scope</x:v>
      </x:c>
      <x:c r="D1" s="16" t="str">
        <x:v>Required</x:v>
      </x:c>
      <x:c r="E1" s="16" t="str">
        <x:v>Granted</x:v>
      </x:c>
      <x:c r="F1" s="16" t="str">
        <x:v>Overhang</x:v>
      </x:c>
    </x:row>
    <x:row r="2">
      <x:c r="A2" s="22" t="str">
        <x:v>READ</x:v>
      </x:c>
      <x:c r="B2" s="22" t="str">
        <x:v>support_ticket</x:v>
      </x:c>
      <x:c r="C2" s="22" t="str">
        <x:v>same_ticket</x:v>
      </x:c>
      <x:c r="D2" s="22" t="str">
        <x:v>YES</x:v>
      </x:c>
      <x:c r="E2" s="22" t="str">
        <x:v>YES</x:v>
      </x:c>
      <x:c r="F2" s="22" t="str">
        <x:f>IF(AND(E2="YES",D2&lt;&gt;"YES"),"OVERHANG","")</x:f>
      </x:c>
    </x:row>
    <x:row r="3">
      <x:c r="A3" s="22" t="str">
        <x:v>READ</x:v>
      </x:c>
      <x:c r="B3" s="22" t="str">
        <x:v>customer_profile</x:v>
      </x:c>
      <x:c r="C3" s="22" t="str">
        <x:v>same_tenant</x:v>
      </x:c>
      <x:c r="D3" s="22" t="str">
        <x:v>YES</x:v>
      </x:c>
      <x:c r="E3" s="22" t="str">
        <x:v>YES</x:v>
      </x:c>
      <x:c r="F3" s="22" t="str">
        <x:f>IF(AND(E3="YES",D3&lt;&gt;"YES"),"OVERHANG","")</x:f>
      </x:c>
    </x:row>
    <x:row r="4">
      <x:c r="A4" s="22" t="str">
        <x:v>WRITE</x:v>
      </x:c>
      <x:c r="B4" s="22" t="str">
        <x:v>support_ticket</x:v>
      </x:c>
      <x:c r="C4" s="22" t="str">
        <x:v>same_ticket</x:v>
      </x:c>
      <x:c r="D4" s="22" t="str">
        <x:v>YES</x:v>
      </x:c>
      <x:c r="E4" s="22" t="str">
        <x:v>YES</x:v>
      </x:c>
      <x:c r="F4" s="22" t="str">
        <x:f>IF(AND(E4="YES",D4&lt;&gt;"YES"),"OVERHANG","")</x:f>
      </x:c>
    </x:row>
    <x:row r="5">
      <x:c r="A5" s="22" t="str">
        <x:v>SEND</x:v>
      </x:c>
      <x:c r="B5" s="22" t="str">
        <x:v>email</x:v>
      </x:c>
      <x:c r="C5" s="22" t="str">
        <x:v>arbitrary_external</x:v>
      </x:c>
      <x:c r="D5" s="22" t="str">
        <x:v>NO</x:v>
      </x:c>
      <x:c r="E5" s="22" t="str">
        <x:v>YES</x:v>
      </x:c>
      <x:c r="F5" s="22" t="str">
        <x:f>IF(AND(E5="YES",D5&lt;&gt;"YES"),"OVERHANG","")</x:f>
        <x:v>OVERHANG</x:v>
      </x:c>
    </x:row>
    <x:row r="6">
      <x:c r="A6" s="22" t="str">
        <x:v>DELETE</x:v>
      </x:c>
      <x:c r="B6" s="22" t="str">
        <x:v>support_ticket</x:v>
      </x:c>
      <x:c r="C6" s="22" t="str">
        <x:v>same_tenant</x:v>
      </x:c>
      <x:c r="D6" s="22" t="str">
        <x:v>NO</x:v>
      </x:c>
      <x:c r="E6" s="22" t="str">
        <x:v>YES</x:v>
      </x:c>
      <x:c r="F6" s="22" t="str">
        <x:f>IF(AND(E6="YES",D6&lt;&gt;"YES"),"OVERHANG","")</x:f>
        <x:v>OVERHANG</x:v>
      </x:c>
    </x:row>
    <x:row r="7">
      <x:c r="A7" s="22" t="str">
        <x:v>EXECUTE</x:v>
      </x:c>
      <x:c r="B7" s="22" t="str">
        <x:v>code</x:v>
      </x:c>
      <x:c r="C7" s="22" t="str">
        <x:v>host_environment</x:v>
      </x:c>
      <x:c r="D7" s="22" t="str">
        <x:v>NO</x:v>
      </x:c>
      <x:c r="E7" s="22" t="str">
        <x:v>YES</x:v>
      </x:c>
      <x:c r="F7" s="22" t="str">
        <x:f>IF(AND(E7="YES",D7&lt;&gt;"YES"),"OVERHANG","")</x:f>
        <x:v>OVERHANG</x:v>
      </x:c>
    </x:row>
    <x:row r="8">
      <x:c r="A8" s="22" t="str">
        <x:v>ADMIN</x:v>
      </x:c>
      <x:c r="B8" s="22" t="str">
        <x:v>account_permissions</x:v>
      </x:c>
      <x:c r="C8" s="22" t="str">
        <x:v>workspace</x:v>
      </x:c>
      <x:c r="D8" s="22" t="str">
        <x:v>NO</x:v>
      </x:c>
      <x:c r="E8" s="22" t="str">
        <x:v>YES</x:v>
      </x:c>
      <x:c r="F8" s="22" t="str">
        <x:f>IF(AND(E8="YES",D8&lt;&gt;"YES"),"OVERHANG","")</x:f>
        <x:v>OVERHANG</x:v>
      </x:c>
    </x:row>
    <x:row r="9">
      <x:c r="A9" s="22" t="str">
        <x:v>NETWORK</x:v>
      </x:c>
      <x:c r="B9" s="22" t="str">
        <x:v>http</x:v>
      </x:c>
      <x:c r="C9" s="22" t="str">
        <x:v>arbitrary_internet</x:v>
      </x:c>
      <x:c r="D9" s="22" t="str">
        <x:v>NO</x:v>
      </x:c>
      <x:c r="E9" s="22" t="str">
        <x:v>YES</x:v>
      </x:c>
      <x:c r="F9" s="22" t="str">
        <x:f>IF(AND(E9="YES",D9&lt;&gt;"YES"),"OVERHANG","")</x:f>
        <x:v>OVERHANG</x:v>
      </x:c>
    </x:row>
    <x:row r="10">
      <x:c r="A10" s="22" t="str">
        <x:v>SUMMARY</x:v>
      </x:c>
      <x:c r="B10" s="22" t="str"/>
      <x:c r="C10" s="22" t="str"/>
      <x:c r="D10" s="22" t="str"/>
      <x:c r="E10" s="22" t="str">
        <x:v>Overhang count</x:v>
      </x:c>
      <x:c r="F10" s="22" t="n">
        <x:f>COUNTIF(F2:F9,"OVERHANG")</x:f>
        <x:v>5</x:v>
      </x:c>
    </x:row>
  </x:sheetData>
  <x:conditionalFormatting sqref="F2:F9">
    <x:cfRule type="expression" dxfId="1" priority="1">
      <x:formula>F2="OVERHANG"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24" hidden="0" customWidth="1"/>
    <x:col min="6" max="6" width="24" hidden="0" customWidth="1"/>
    <x:col min="7" max="7" width="48" hidden="0" customWidth="1"/>
  </x:cols>
  <x:sheetData>
    <x:row r="1">
      <x:c r="A1" s="16" t="str">
        <x:v>Scenario</x:v>
      </x:c>
      <x:c r="B1" s="16" t="str">
        <x:v>Untrusted source</x:v>
      </x:c>
      <x:c r="C1" s="16" t="str">
        <x:v>Required authority</x:v>
      </x:c>
      <x:c r="D1" s="16" t="str">
        <x:v>Pre-control grant</x:v>
      </x:c>
      <x:c r="E1" s="16" t="str">
        <x:v>Autonomous sinks before</x:v>
      </x:c>
      <x:c r="F1" s="16" t="str">
        <x:v>Autonomous sinks after</x:v>
      </x:c>
      <x:c r="G1" s="16" t="str">
        <x:v>Interpretation</x:v>
      </x:c>
    </x:row>
    <x:row r="2">
      <x:c r="A2" s="22" t="str">
        <x:v>A — Document summarizer</x:v>
      </x:c>
      <x:c r="B2" s="22" t="str">
        <x:v>uploaded_document</x:v>
      </x:c>
      <x:c r="C2" s="22" t="str">
        <x:v>READ one document</x:v>
      </x:c>
      <x:c r="D2" s="22" t="str">
        <x:v>READ document only; no write; no network</x:v>
      </x:c>
      <x:c r="E2" s="22" t="str">
        <x:v>0</x:v>
      </x:c>
      <x:c r="F2" s="22" t="str">
        <x:v>0</x:v>
      </x:c>
      <x:c r="G2" s="22" t="str">
        <x:v>No consequential action sink in modeled workflow</x:v>
      </x:c>
    </x:row>
    <x:row r="3">
      <x:c r="A3" s="22" t="str">
        <x:v>B — Support triage</x:v>
      </x:c>
      <x:c r="B3" s="22" t="str">
        <x:v>inbound_email</x:v>
      </x:c>
      <x:c r="C3" s="22" t="str">
        <x:v>READ scoped ticket + customer; WRITE same ticket</x:v>
      </x:c>
      <x:c r="D3" s="22" t="str">
        <x:v>Broad write/send/delete/execute/admin before containment</x:v>
      </x:c>
      <x:c r="E3" s="22" t="str">
        <x:v>5</x:v>
      </x:c>
      <x:c r="F3" s="22" t="str">
        <x:v>1</x:v>
      </x:c>
      <x:c r="G3" s="22" t="str">
        <x:v>After control: scoped ticket write autonomous; send approval-gated</x:v>
      </x:c>
    </x:row>
    <x:row r="4">
      <x:c r="A4" s="22" t="str">
        <x:v>C — Email assistant</x:v>
      </x:c>
      <x:c r="B4" s="22" t="str">
        <x:v>inbound_email</x:v>
      </x:c>
      <x:c r="C4" s="22" t="str">
        <x:v>READ selected mailbox + SEND intended recipient</x:v>
      </x:c>
      <x:c r="D4" s="22" t="str">
        <x:v>Mailbox read + external send</x:v>
      </x:c>
      <x:c r="E4" s="22" t="str">
        <x:v>2</x:v>
      </x:c>
      <x:c r="F4" s="22" t="str">
        <x:v>1</x:v>
      </x:c>
      <x:c r="G4" s="22" t="str">
        <x:v>External send remains consequential and should expose destination/data for confirmation under policy</x:v>
      </x:c>
    </x:row>
    <x:row r="5">
      <x:c r="A5" s="22" t="str">
        <x:v>D — Operations agent</x:v>
      </x:c>
      <x:c r="B5" s="22" t="str">
        <x:v>tool_or_mcp_result</x:v>
      </x:c>
      <x:c r="C5" s="22" t="str">
        <x:v>READ telemetry + bounded remediation</x:v>
      </x:c>
      <x:c r="D5" s="22" t="str">
        <x:v>Execute/deploy/admin if broadly granted</x:v>
      </x:c>
      <x:c r="E5" s="22" t="str">
        <x:v>4</x:v>
      </x:c>
      <x:c r="F5" s="22" t="str">
        <x:v>2</x:v>
      </x:c>
      <x:c r="G5" s="22" t="str">
        <x:v>High-risk actions should be independently policy-gated or blocked unless task requires them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22" hidden="0" customWidth="1"/>
    <x:col min="5" max="5" width="22" hidden="0" customWidth="1"/>
    <x:col min="6" max="6" width="54" hidden="0" customWidth="1"/>
    <x:col min="7" max="7" width="54" hidden="0" customWidth="1"/>
    <x:col min="8" max="8" width="54" hidden="0" customWidth="1"/>
  </x:cols>
  <x:sheetData>
    <x:row r="1">
      <x:c r="A1" s="16" t="str">
        <x:v>ID</x:v>
      </x:c>
      <x:c r="B1" s="16" t="str">
        <x:v>Organization</x:v>
      </x:c>
      <x:c r="C1" s="16" t="str">
        <x:v>Document</x:v>
      </x:c>
      <x:c r="D1" s="16" t="str">
        <x:v>Type</x:v>
      </x:c>
      <x:c r="E1" s="16" t="str">
        <x:v>Accessed</x:v>
      </x:c>
      <x:c r="F1" s="16" t="str">
        <x:v>URL</x:v>
      </x:c>
      <x:c r="G1" s="16" t="str">
        <x:v>Claims supported</x:v>
      </x:c>
      <x:c r="H1" s="16" t="str">
        <x:v>Limitations</x:v>
      </x:c>
    </x:row>
    <x:row r="2">
      <x:c r="A2" s="22" t="str">
        <x:v>S01</x:v>
      </x:c>
      <x:c r="B2" s="22" t="str">
        <x:v>OpenAI</x:v>
      </x:c>
      <x:c r="C2" s="22" t="str">
        <x:v>Designing AI agents to resist prompt injection</x:v>
      </x:c>
      <x:c r="D2" s="22" t="str">
        <x:v>Security research / source-sink framing</x:v>
      </x:c>
      <x:c r="E2" s="22" t="str">
        <x:v>2026-08-10</x:v>
      </x:c>
      <x:c r="F2" s="22" t="str">
        <x:v>https://openai.com/index/designing-agents-to-resist-prompt-injection/</x:v>
      </x:c>
      <x:c r="G2" s="22" t="str">
        <x:v>Prompt injection as social engineering; source/sink framing; deterministic systems constrain consequences; confirmations/sandboxing examples</x:v>
      </x:c>
      <x:c r="H2" s="22" t="str">
        <x:v>Product-specific controls are examples, not universal guarantees.</x:v>
      </x:c>
    </x:row>
    <x:row r="3">
      <x:c r="A3" s="22" t="str">
        <x:v>S02</x:v>
      </x:c>
      <x:c r="B3" s="22" t="str">
        <x:v>OpenAI</x:v>
      </x:c>
      <x:c r="C3" s="22" t="str">
        <x:v>Understanding prompt injections</x:v>
      </x:c>
      <x:c r="D3" s="22" t="str">
        <x:v>Security guidance</x:v>
      </x:c>
      <x:c r="E3" s="22" t="str">
        <x:v>2026-08-10</x:v>
      </x:c>
      <x:c r="F3" s="22" t="str">
        <x:v>https://openai.com/safety/prompt-injections/</x:v>
      </x:c>
      <x:c r="G3" s="22" t="str">
        <x:v>Prompt injection definition; layered defenses; least-access and confirmation guidance</x:v>
      </x:c>
      <x:c r="H3" s="22" t="str">
        <x:v>OpenAI product guidance; architecture principles generalized cautiously.</x:v>
      </x:c>
    </x:row>
    <x:row r="4">
      <x:c r="A4" s="22" t="str">
        <x:v>S03</x:v>
      </x:c>
      <x:c r="B4" s="22" t="str">
        <x:v>OWASP GenAI Security Project</x:v>
      </x:c>
      <x:c r="C4" s="22" t="str">
        <x:v>LLM01:2025 Prompt Injection</x:v>
      </x:c>
      <x:c r="D4" s="22" t="str">
        <x:v>Security standard guidance</x:v>
      </x:c>
      <x:c r="E4" s="22" t="str">
        <x:v>2026-08-10</x:v>
      </x:c>
      <x:c r="F4" s="22" t="str">
        <x:v>https://genai.owasp.org/llmrisk/llm01-prompt-injection/</x:v>
      </x:c>
      <x:c r="G4" s="22" t="str">
        <x:v>Direct vs indirect prompt injection; jailbreak distinction; least privilege; human approval</x:v>
      </x:c>
      <x:c r="H4" s="22" t="str">
        <x:v>Guidance, not measured attack probability.</x:v>
      </x:c>
    </x:row>
    <x:row r="5">
      <x:c r="A5" s="22" t="str">
        <x:v>S04</x:v>
      </x:c>
      <x:c r="B5" s="22" t="str">
        <x:v>OWASP GenAI Security Project</x:v>
      </x:c>
      <x:c r="C5" s="22" t="str">
        <x:v>LLM06:2025 Excessive Agency</x:v>
      </x:c>
      <x:c r="D5" s="22" t="str">
        <x:v>Security standard guidance</x:v>
      </x:c>
      <x:c r="E5" s="22" t="str">
        <x:v>2026-08-10</x:v>
      </x:c>
      <x:c r="F5" s="22" t="str">
        <x:v>https://genai.owasp.org/llmrisk/llm062025-excessive-agency/</x:v>
      </x:c>
      <x:c r="G5" s="22" t="str">
        <x:v>Excessive functionality, permissions, and autonomy can enable damaging actions</x:v>
      </x:c>
      <x:c r="H5" s="22" t="str">
        <x:v>Taxonomy, not a quantitative risk score.</x:v>
      </x:c>
    </x:row>
    <x:row r="6">
      <x:c r="A6" s="22" t="str">
        <x:v>S05</x:v>
      </x:c>
      <x:c r="B6" s="22" t="str">
        <x:v>OWASP GenAI Security Project</x:v>
      </x:c>
      <x:c r="C6" s="22" t="str">
        <x:v>LLM05:2025 Improper Output Handling</x:v>
      </x:c>
      <x:c r="D6" s="22" t="str">
        <x:v>Security standard guidance</x:v>
      </x:c>
      <x:c r="E6" s="22" t="str">
        <x:v>2026-08-10</x:v>
      </x:c>
      <x:c r="F6" s="22" t="str">
        <x:v>https://genai.owasp.org/llmrisk/llm052025-improper-output-handling/</x:v>
      </x:c>
      <x:c r="G6" s="22" t="str">
        <x:v>Model output should not be treated as trusted backend authorization/input</x:v>
      </x:c>
      <x:c r="H6" s="22" t="str">
        <x:v>Examples are not used as offensive instructions.</x:v>
      </x:c>
    </x:row>
    <x:row r="7">
      <x:c r="A7" s="22" t="str">
        <x:v>S06</x:v>
      </x:c>
      <x:c r="B7" s="22" t="str">
        <x:v>Model Context Protocol</x:v>
      </x:c>
      <x:c r="C7" s="22" t="str">
        <x:v>MCP Specification 2026-07-28</x:v>
      </x:c>
      <x:c r="D7" s="22" t="str">
        <x:v>Protocol specification</x:v>
      </x:c>
      <x:c r="E7" s="22" t="str">
        <x:v>2026-08-10</x:v>
      </x:c>
      <x:c r="F7" s="22" t="str">
        <x:v>https://modelcontextprotocol.io/specification/2026-07-28</x:v>
      </x:c>
      <x:c r="G7" s="22" t="str">
        <x:v>Current protocol version; consent/security principles; tools can execute actions; annotations are not trusted by default</x:v>
      </x:c>
      <x:c r="H7" s="22" t="str">
        <x:v>MCP cannot enforce every application security property itself.</x:v>
      </x:c>
    </x:row>
    <x:row r="8">
      <x:c r="A8" s="22" t="str">
        <x:v>S07</x:v>
      </x:c>
      <x:c r="B8" s="22" t="str">
        <x:v>Model Context Protocol</x:v>
      </x:c>
      <x:c r="C8" s="22" t="str">
        <x:v>Authorization — 2026-07-28</x:v>
      </x:c>
      <x:c r="D8" s="22" t="str">
        <x:v>Protocol authorization specification</x:v>
      </x:c>
      <x:c r="E8" s="22" t="str">
        <x:v>2026-08-10</x:v>
      </x:c>
      <x:c r="F8" s="22" t="str">
        <x:v>https://modelcontextprotocol.io/specification/2026-07-28/basic/authorization</x:v>
      </x:c>
      <x:c r="G8" s="22" t="str">
        <x:v>Least-privilege scopes; resource indicators; audience validation; token handling; step-up authorization</x:v>
      </x:c>
      <x:c r="H8" s="22" t="str">
        <x:v>Authorization is optional for MCP overall; when used, normative rules apply.</x:v>
      </x:c>
    </x:row>
    <x:row r="9">
      <x:c r="A9" s="22" t="str">
        <x:v>S08</x:v>
      </x:c>
      <x:c r="B9" s="22" t="str">
        <x:v>Model Context Protocol</x:v>
      </x:c>
      <x:c r="C9" s="22" t="str">
        <x:v>Security Best Practices — 2026-07-28</x:v>
      </x:c>
      <x:c r="D9" s="22" t="str">
        <x:v>Protocol security guidance</x:v>
      </x:c>
      <x:c r="E9" s="22" t="str">
        <x:v>2026-08-10</x:v>
      </x:c>
      <x:c r="F9" s="22" t="str">
        <x:v>https://modelcontextprotocol.io/docs/2026-07-28/tutorials/security/security_best_practices</x:v>
      </x:c>
      <x:c r="G9" s="22" t="str">
        <x:v>Token passthrough prohibition; sandbox/resource restrictions; scope minimization; consent</x:v>
      </x:c>
      <x:c r="H9" s="22" t="str">
        <x:v>Implementation guidance; not a proof of safety.</x:v>
      </x:c>
    </x:row>
    <x:row r="10">
      <x:c r="A10" s="22" t="str">
        <x:v>S09</x:v>
      </x:c>
      <x:c r="B10" s="22" t="str">
        <x:v>Model Context Protocol Blog</x:v>
      </x:c>
      <x:c r="C10" s="22" t="str">
        <x:v>The 2026-07-28 Specification</x:v>
      </x:c>
      <x:c r="D10" s="22" t="str">
        <x:v>Maintainer release note</x:v>
      </x:c>
      <x:c r="E10" s="22" t="str">
        <x:v>2026-08-10</x:v>
      </x:c>
      <x:c r="F10" s="22" t="str">
        <x:v>https://blog.modelcontextprotocol.io/posts/2026-07-28/</x:v>
      </x:c>
      <x:c r="G10" s="22" t="str">
        <x:v>Confirms current final spec version and authorization hardening</x:v>
      </x:c>
      <x:c r="H10" s="22" t="str">
        <x:v>Release overview, not normative replacement for spec.</x:v>
      </x:c>
    </x:row>
    <x:row r="11">
      <x:c r="A11" s="22" t="str">
        <x:v>S10</x:v>
      </x:c>
      <x:c r="B11" s="22" t="str">
        <x:v>Model Context Protocol Blog</x:v>
      </x:c>
      <x:c r="C11" s="22" t="str">
        <x:v>Tool Annotations as Risk Vocabulary</x:v>
      </x:c>
      <x:c r="D11" s="22" t="str">
        <x:v>Maintainer security note</x:v>
      </x:c>
      <x:c r="E11" s="22" t="str">
        <x:v>2026-08-10</x:v>
      </x:c>
      <x:c r="F11" s="22" t="str">
        <x:v>https://blog.modelcontextprotocol.io/posts/2026-03-16-tool-annotations/</x:v>
      </x:c>
      <x:c r="G11" s="22" t="str">
        <x:v>Tool annotations are hints, not enforcement; composition determines risk</x:v>
      </x:c>
      <x:c r="H11" s="22" t="str">
        <x:v>Maintainer explanation; article uses normative spec for hard requirements.</x:v>
      </x:c>
    </x:row>
    <x:row r="12">
      <x:c r="A12" s="22" t="str">
        <x:v>S11</x:v>
      </x:c>
      <x:c r="B12" s="22" t="str">
        <x:v>IETF</x:v>
      </x:c>
      <x:c r="C12" s="22" t="str">
        <x:v>RFC 9700 — Best Current Practice for OAuth 2.0 Security</x:v>
      </x:c>
      <x:c r="D12" s="22" t="str">
        <x:v>Internet Best Current Practice</x:v>
      </x:c>
      <x:c r="E12" s="22" t="str">
        <x:v>2026-08-10</x:v>
      </x:c>
      <x:c r="F12" s="22" t="str">
        <x:v>https://datatracker.ietf.org/doc/html/rfc9700</x:v>
      </x:c>
      <x:c r="G12" s="22" t="str">
        <x:v>Current OAuth security BCP; audience restrictions and token security context</x:v>
      </x:c>
      <x:c r="H12" s="22" t="str">
        <x:v>OAuth BCP is broader than MCP.</x:v>
      </x:c>
    </x:row>
    <x:row r="13">
      <x:c r="A13" s="22" t="str">
        <x:v>S12</x:v>
      </x:c>
      <x:c r="B13" s="22" t="str">
        <x:v>NIST</x:v>
      </x:c>
      <x:c r="C13" s="22" t="str">
        <x:v>Least privilege — CSRC Glossary</x:v>
      </x:c>
      <x:c r="D13" s="22" t="str">
        <x:v>Security principle</x:v>
      </x:c>
      <x:c r="E13" s="22" t="str">
        <x:v>2026-08-10</x:v>
      </x:c>
      <x:c r="F13" s="22" t="str">
        <x:v>https://csrc.nist.gov/glossary/term/least_privilege</x:v>
      </x:c>
      <x:c r="G13" s="22" t="str">
        <x:v>Minimum necessary resources/authorizations to perform a function</x:v>
      </x:c>
      <x:c r="H13" s="22" t="str">
        <x:v>General security principle, not agent-specific.</x:v>
      </x:c>
    </x:row>
    <x:row r="14">
      <x:c r="A14" s="22" t="str">
        <x:v>S13</x:v>
      </x:c>
      <x:c r="B14" s="22" t="str">
        <x:v>NIST</x:v>
      </x:c>
      <x:c r="C14" s="22" t="str">
        <x:v>Summary Analysis: Security Considerations for AI Agents</x:v>
      </x:c>
      <x:c r="D14" s="22" t="str">
        <x:v>AI agent security report</x:v>
      </x:c>
      <x:c r="E14" s="22" t="str">
        <x:v>2026-08-10</x:v>
      </x:c>
      <x:c r="F14" s="22" t="str">
        <x:v>https://www.nist.gov/publications/summary-analysis-responses-request-information-regarding-security-considerations-ai</x:v>
      </x:c>
      <x:c r="G14" s="22" t="str">
        <x:v>Agent security remains an adoption barrier; conventional cyber principles require adaptation</x:v>
      </x:c>
      <x:c r="H14" s="22" t="str">
        <x:v>Summary of RFI responses, not normative standard.</x:v>
      </x:c>
    </x:row>
  </x:sheetData>
  <x:pageMargins left="0.7" right="0.7" top="0.75" bottom="0.75" header="0.3" footer="0.3"/>
</x:worksheet>
</file>