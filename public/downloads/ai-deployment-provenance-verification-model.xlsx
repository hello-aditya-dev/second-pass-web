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1b51f2fa0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32e5b0b53b4af0"/>
    <x:sheet xmlns:r="http://schemas.openxmlformats.org/officeDocument/2006/relationships" name="COMPONENTS" sheetId="2" r:id="R46fd0fcb3b104392"/>
    <x:sheet xmlns:r="http://schemas.openxmlformats.org/officeDocument/2006/relationships" name="APPROVED" sheetId="3" r:id="R9213bf013ae9461b"/>
    <x:sheet xmlns:r="http://schemas.openxmlformats.org/officeDocument/2006/relationships" name="OBSERVED" sheetId="4" r:id="R08d3e13b00de4e25"/>
    <x:sheet xmlns:r="http://schemas.openxmlformats.org/officeDocument/2006/relationships" name="DIGESTS" sheetId="5" r:id="R3b5f0fb5e7704f8e"/>
    <x:sheet xmlns:r="http://schemas.openxmlformats.org/officeDocument/2006/relationships" name="SIGNATURES" sheetId="6" r:id="R62210842509c4124"/>
    <x:sheet xmlns:r="http://schemas.openxmlformats.org/officeDocument/2006/relationships" name="PROVENANCE" sheetId="7" r:id="R4fdf655765334a9b"/>
    <x:sheet xmlns:r="http://schemas.openxmlformats.org/officeDocument/2006/relationships" name="POLICY" sheetId="8" r:id="Rbc673eae980a4809"/>
    <x:sheet xmlns:r="http://schemas.openxmlformats.org/officeDocument/2006/relationships" name="DEPENDENCIES" sheetId="9" r:id="R9a2052db445e4dd7"/>
    <x:sheet xmlns:r="http://schemas.openxmlformats.org/officeDocument/2006/relationships" name="MISMATCH" sheetId="10" r:id="R01b5843b766349ae"/>
    <x:sheet xmlns:r="http://schemas.openxmlformats.org/officeDocument/2006/relationships" name="COVERAGE" sheetId="11" r:id="Rcb07bf9e25964c7c"/>
    <x:sheet xmlns:r="http://schemas.openxmlformats.org/officeDocument/2006/relationships" name="SOURCES" sheetId="12" r:id="Rb1e4bffb3a97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2EFE7"/>
      <x:name val="Carlito"/>
    </x:font>
    <x:font>
      <x:i/>
      <x:sz val="11"/>
      <x:color rgb="FF5A595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2F5B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e60eee40b49a6" /><Relationship Type="http://schemas.openxmlformats.org/officeDocument/2006/relationships/theme" Target="/xl/theme/theme1.xml" Id="Rbfd19d488bab4ba5" /><Relationship Type="http://schemas.openxmlformats.org/officeDocument/2006/relationships/sharedStrings" Target="/xl/sharedStrings.xml" Id="R480c19f4f10848dd" /><Relationship Type="http://schemas.openxmlformats.org/officeDocument/2006/relationships/worksheet" Target="/xl/worksheets/sheet1.xml" Id="Re232e5b0b53b4af0" /><Relationship Type="http://schemas.openxmlformats.org/officeDocument/2006/relationships/worksheet" Target="/xl/worksheets/sheet2.xml" Id="R46fd0fcb3b104392" /><Relationship Type="http://schemas.openxmlformats.org/officeDocument/2006/relationships/worksheet" Target="/xl/worksheets/sheet3.xml" Id="R9213bf013ae9461b" /><Relationship Type="http://schemas.openxmlformats.org/officeDocument/2006/relationships/worksheet" Target="/xl/worksheets/sheet4.xml" Id="R08d3e13b00de4e25" /><Relationship Type="http://schemas.openxmlformats.org/officeDocument/2006/relationships/worksheet" Target="/xl/worksheets/sheet5.xml" Id="R3b5f0fb5e7704f8e" /><Relationship Type="http://schemas.openxmlformats.org/officeDocument/2006/relationships/worksheet" Target="/xl/worksheets/sheet6.xml" Id="R62210842509c4124" /><Relationship Type="http://schemas.openxmlformats.org/officeDocument/2006/relationships/worksheet" Target="/xl/worksheets/sheet7.xml" Id="R4fdf655765334a9b" /><Relationship Type="http://schemas.openxmlformats.org/officeDocument/2006/relationships/worksheet" Target="/xl/worksheets/sheet8.xml" Id="Rbc673eae980a4809" /><Relationship Type="http://schemas.openxmlformats.org/officeDocument/2006/relationships/worksheet" Target="/xl/worksheets/sheet9.xml" Id="R9a2052db445e4dd7" /><Relationship Type="http://schemas.openxmlformats.org/officeDocument/2006/relationships/worksheet" Target="/xl/worksheets/sheet10.xml" Id="R01b5843b766349ae" /><Relationship Type="http://schemas.openxmlformats.org/officeDocument/2006/relationships/worksheet" Target="/xl/worksheets/sheet11.xml" Id="Rcb07bf9e25964c7c" /><Relationship Type="http://schemas.openxmlformats.org/officeDocument/2006/relationships/worksheet" Target="/xl/worksheets/sheet12.xml" Id="Rb1e4bffb3a97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 ht="26" customHeight="1">
      <x:c r="A1" s="4" t="str">
        <x:v>AI DEPLOYMENT PROVENANCE VERIFICATION MODEL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SECOND / PASS SECURITY / PROOF #09 — analytical model; not a universal security certification.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Field</x:v>
      </x:c>
      <x:c r="B4" s="18" t="str">
        <x:v>Value</x:v>
      </x:c>
    </x:row>
    <x:row r="5">
      <x:c r="A5" t="str">
        <x:v>Status</x:v>
      </x:c>
      <x:c r="B5" t="str">
        <x:v>review / human gate</x:v>
      </x:c>
    </x:row>
    <x:row r="6">
      <x:c r="A6" t="str">
        <x:v>Scenario approved components</x:v>
      </x:c>
      <x:c r="B6" t="n">
        <x:v>10</x:v>
      </x:c>
    </x:row>
    <x:row r="7">
      <x:c r="A7" t="str">
        <x:v>Scenario matches</x:v>
      </x:c>
      <x:c r="B7" t="n">
        <x:v>9</x:v>
      </x:c>
    </x:row>
    <x:row r="8">
      <x:c r="A8" t="str">
        <x:v>Changed</x:v>
      </x:c>
      <x:c r="B8" t="n">
        <x:v>1</x:v>
      </x:c>
    </x:row>
    <x:row r="9">
      <x:c r="A9" t="str">
        <x:v>Unexpected</x:v>
      </x:c>
      <x:c r="B9" t="n">
        <x:v>1</x:v>
      </x:c>
    </x:row>
    <x:row r="10">
      <x:c r="A10" t="str">
        <x:v>Verified component coverage</x:v>
      </x:c>
      <x:c r="B10" s="24" t="n">
        <x:v>0.9</x:v>
      </x:c>
    </x:row>
    <x:row r="11">
      <x:c r="A11" t="str">
        <x:v>Strict deployment result</x:v>
      </x:c>
      <x:c r="B11" t="str">
        <x:v>BLOCKED — MISMATCH</x:v>
      </x:c>
    </x:row>
    <x:row r="12">
      <x:c r="A12" t="str">
        <x:v>Current SLSA</x:v>
      </x:c>
      <x:c r="B12" t="str">
        <x:v>v1.2</x:v>
      </x:c>
    </x:row>
    <x:row r="13">
      <x:c r="A13" t="str">
        <x:v>OCI image-spec freeze</x:v>
      </x:c>
      <x:c r="B13" t="str">
        <x:v>v1.1.1 release family</x:v>
      </x:c>
    </x:row>
    <x:row r="14">
      <x:c r="A14" t="str">
        <x:v>Rule</x:v>
      </x:c>
      <x:c r="B14" t="str">
        <x:v>UNKNOWN never silently passes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44" hidden="0" customWidth="1"/>
  </x:cols>
  <x:sheetData>
    <x:row r="1" ht="26" customHeight="1">
      <x:c r="A1" s="4" t="str">
        <x:v>COMPONENT TAXONOMY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Conditional security-relevant component classes; not every deployment contains every row.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component_class</x:v>
      </x:c>
      <x:c r="B4" s="18" t="str">
        <x:v>examples</x:v>
      </x:c>
      <x:c r="C4" s="18" t="str">
        <x:v>security_relevance</x:v>
      </x:c>
      <x:c r="D4" s="18" t="str">
        <x:v>verification_boundary</x:v>
      </x:c>
      <x:c r="E4" s="18" t="str">
        <x:v>notes</x:v>
      </x:c>
    </x:row>
    <x:row r="5">
      <x:c r="A5" s="26" t="str">
        <x:v>MODEL_SNAPSHOT</x:v>
      </x:c>
      <x:c r="B5" s="26" t="str">
        <x:v>Hub repository revision</x:v>
      </x:c>
      <x:c r="C5" s="26" t="str">
        <x:v>Anchors model repo state</x:v>
      </x:c>
      <x:c r="D5" s="26" t="str">
        <x:v>Full commit revision + policy</x:v>
      </x:c>
      <x:c r="E5" s="26" t="str">
        <x:v>Branch/tag may resolve to different content over time.</x:v>
      </x:c>
    </x:row>
    <x:row r="6">
      <x:c r="A6" s="26" t="str">
        <x:v>WEIGHTS</x:v>
      </x:c>
      <x:c r="B6" s="26" t="str">
        <x:v>safetensors shards/index</x:v>
      </x:c>
      <x:c r="C6" s="26" t="str">
        <x:v>Core tensor payload</x:v>
      </x:c>
      <x:c r="D6" s="26" t="str">
        <x:v>Digest / repository snapshot</x:v>
      </x:c>
      <x:c r="E6" s="26" t="str">
        <x:v>Safetensors narrows serialization risk; does not establish provenance.</x:v>
      </x:c>
    </x:row>
    <x:row r="7">
      <x:c r="A7" s="26" t="str">
        <x:v>CONFIG</x:v>
      </x:c>
      <x:c r="B7" s="26" t="str">
        <x:v>config.json / generation config</x:v>
      </x:c>
      <x:c r="C7" s="26" t="str">
        <x:v>Can alter loading or behavior</x:v>
      </x:c>
      <x:c r="D7" s="26" t="str">
        <x:v>Snapshot/digest</x:v>
      </x:c>
      <x:c r="E7" s="26" t="str">
        <x:v>Include only files relevant to deployment behavior/security.</x:v>
      </x:c>
    </x:row>
    <x:row r="8">
      <x:c r="A8" s="26" t="str">
        <x:v>TOKENIZER_TEMPLATE</x:v>
      </x:c>
      <x:c r="B8" s="26" t="str">
        <x:v>tokenizer / chat template / processor</x:v>
      </x:c>
      <x:c r="C8" s="26" t="str">
        <x:v>Can change input/output processing</x:v>
      </x:c>
      <x:c r="D8" s="26" t="str">
        <x:v>Snapshot/digest</x:v>
      </x:c>
      <x:c r="E8" s="26" t="str">
        <x:v>Same weights do not imply identical serving behavior.</x:v>
      </x:c>
    </x:row>
    <x:row r="9">
      <x:c r="A9" s="26" t="str">
        <x:v>CUSTOM_CODE</x:v>
      </x:c>
      <x:c r="B9" s="26" t="str">
        <x:v>Transformers remote custom code</x:v>
      </x:c>
      <x:c r="C9" s="26" t="str">
        <x:v>Executable code</x:v>
      </x:c>
      <x:c r="D9" s="26" t="str">
        <x:v>Pinned revision + code review/policy</x:v>
      </x:c>
      <x:c r="E9" s="26" t="str">
        <x:v>trust_remote_code makes executable repo code part of deployment identity.</x:v>
      </x:c>
    </x:row>
    <x:row r="10">
      <x:c r="A10" s="26" t="str">
        <x:v>ADAPTER</x:v>
      </x:c>
      <x:c r="B10" s="26" t="str">
        <x:v>LoRA / PEFT adapter</x:v>
      </x:c>
      <x:c r="C10" s="26" t="str">
        <x:v>Changes effective model behavior</x:v>
      </x:c>
      <x:c r="D10" s="26" t="str">
        <x:v>Adapter revision/digest</x:v>
      </x:c>
      <x:c r="E10" s="26" t="str">
        <x:v>Presence must be explicit in manifest when loaded.</x:v>
      </x:c>
    </x:row>
    <x:row r="11">
      <x:c r="A11" s="26" t="str">
        <x:v>SERVING_IMAGE</x:v>
      </x:c>
      <x:c r="B11" s="26" t="str">
        <x:v>OCI image/index</x:v>
      </x:c>
      <x:c r="C11" s="26" t="str">
        <x:v>Executes runtime stack</x:v>
      </x:c>
      <x:c r="D11" s="26" t="str">
        <x:v>OCI digest + signature/provenance policy</x:v>
      </x:c>
      <x:c r="E11" s="26" t="str">
        <x:v>Aggregate verification boundary may cover many transitive files.</x:v>
      </x:c>
    </x:row>
    <x:row r="12">
      <x:c r="A12" s="26" t="str">
        <x:v>BASE_IMAGE</x:v>
      </x:c>
      <x:c r="B12" s="26" t="str">
        <x:v>OCI parent/base build input</x:v>
      </x:c>
      <x:c r="C12" s="26" t="str">
        <x:v>Transitive software supply chain</x:v>
      </x:c>
      <x:c r="D12" s="26" t="str">
        <x:v>Build provenance or approved digest</x:v>
      </x:c>
      <x:c r="E12" s="26" t="str">
        <x:v>May terminate at trusted aggregate artifact boundary.</x:v>
      </x:c>
    </x:row>
    <x:row r="13">
      <x:c r="A13" s="26" t="str">
        <x:v>RUNTIME_DEPS</x:v>
      </x:c>
      <x:c r="B13" s="26" t="str">
        <x:v>Python/system packages/custom kernels</x:v>
      </x:c>
      <x:c r="C13" s="26" t="str">
        <x:v>Executable dependencies</x:v>
      </x:c>
      <x:c r="D13" s="26" t="str">
        <x:v>Lockfile/image/build provenance</x:v>
      </x:c>
      <x:c r="E13" s="26" t="str">
        <x:v>Avoid pretending a model name is the entire deployment.</x:v>
      </x:c>
    </x:row>
    <x:row r="14">
      <x:c r="A14" s="26" t="str">
        <x:v>STARTUP_POLICY</x:v>
      </x:c>
      <x:c r="B14" s="26" t="str">
        <x:v>flags/config/policy</x:v>
      </x:c>
      <x:c r="C14" s="26" t="str">
        <x:v>Controls what is loaded/executed</x:v>
      </x:c>
      <x:c r="D14" s="26" t="str">
        <x:v>Signed/approved deployment config</x:v>
      </x:c>
      <x:c r="E14" s="26" t="str">
        <x:v>Examples include revision, adapter, remote-code and plugin settings.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8" hidden="0" customWidth="1"/>
    <x:col min="5" max="5" width="50" hidden="0" customWidth="1"/>
    <x:col min="6" max="6" width="10" hidden="0" customWidth="1"/>
    <x:col min="7" max="7" width="42" hidden="0" customWidth="1"/>
    <x:col min="8" max="8" width="10" hidden="0" customWidth="1"/>
    <x:col min="9" max="9" width="42" hidden="0" customWidth="1"/>
    <x:col min="10" max="10" width="12" hidden="0" customWidth="1"/>
    <x:col min="11" max="11" width="18" hidden="0" customWidth="1"/>
  </x:cols>
  <x:sheetData>
    <x:row r="1" ht="26" customHeight="1">
      <x:c r="A1" s="4" t="str">
        <x:v>APPROVED MANIFEST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Scenario identities are synthetic examples. Replace them with buyer-approved evidence.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Role</x:v>
      </x:c>
      <x:c r="C4" s="18" t="str">
        <x:v>Artifact/source</x:v>
      </x:c>
      <x:c r="D4" s="18" t="str">
        <x:v>Expected revision</x:v>
      </x:c>
      <x:c r="E4" s="18" t="str">
        <x:v>Expected digest</x:v>
      </x:c>
      <x:c r="F4" s="18" t="str">
        <x:v>Sig req</x:v>
      </x:c>
      <x:c r="G4" s="18" t="str">
        <x:v>Expected signer</x:v>
      </x:c>
      <x:c r="H4" s="18" t="str">
        <x:v>Prov req</x:v>
      </x:c>
      <x:c r="I4" s="18" t="str">
        <x:v>Expected builder/source</x:v>
      </x:c>
      <x:c r="J4" s="18" t="str">
        <x:v>Policy</x:v>
      </x:c>
      <x:c r="K4" s="18" t="str">
        <x:v>Parent</x:v>
      </x:c>
    </x:row>
    <x:row r="5">
      <x:c r="A5" s="26" t="str">
        <x:v>C01</x:v>
      </x:c>
      <x:c r="B5" s="26" t="str">
        <x:v>model_snapshot</x:v>
      </x:c>
      <x:c r="C5" s="26" t="str">
        <x:v>hf://org/model</x:v>
      </x:c>
      <x:c r="D5" s="26" t="str">
        <x:v>aaaaaaaaaaaaaaaaaaaaaaaaaaaaaaaaaaaaaaaa</x:v>
      </x:c>
      <x:c r="E5" s="26" t="str">
        <x:v>sha256:1111111111111111111111111111111111111111111111111111111111111111</x:v>
      </x:c>
      <x:c r="F5" s="26" t="str">
        <x:v>NO</x:v>
      </x:c>
      <x:c r="G5" s="26" t="str"/>
      <x:c r="H5" s="26" t="str">
        <x:v>NO</x:v>
      </x:c>
      <x:c r="I5" s="26" t="str"/>
      <x:c r="J5" s="26" t="str">
        <x:v>REQUIRED</x:v>
      </x:c>
      <x:c r="K5" s="26" t="str">
        <x:v>production</x:v>
      </x:c>
    </x:row>
    <x:row r="6">
      <x:c r="A6" s="26" t="str">
        <x:v>C02</x:v>
      </x:c>
      <x:c r="B6" s="26" t="str">
        <x:v>weights_bundle</x:v>
      </x:c>
      <x:c r="C6" s="26" t="str">
        <x:v>model.safetensors.index.json + shards</x:v>
      </x:c>
      <x:c r="D6" s="26" t="str">
        <x:v>aaaaaaaaaaaaaaaaaaaaaaaaaaaaaaaaaaaaaaaa</x:v>
      </x:c>
      <x:c r="E6" s="26" t="str">
        <x:v>sha256:2222222222222222222222222222222222222222222222222222222222222222</x:v>
      </x:c>
      <x:c r="F6" s="26" t="str">
        <x:v>NO</x:v>
      </x:c>
      <x:c r="G6" s="26" t="str"/>
      <x:c r="H6" s="26" t="str">
        <x:v>NO</x:v>
      </x:c>
      <x:c r="I6" s="26" t="str"/>
      <x:c r="J6" s="26" t="str">
        <x:v>REQUIRED</x:v>
      </x:c>
      <x:c r="K6" s="26" t="str">
        <x:v>C01</x:v>
      </x:c>
    </x:row>
    <x:row r="7">
      <x:c r="A7" s="26" t="str">
        <x:v>C03</x:v>
      </x:c>
      <x:c r="B7" s="26" t="str">
        <x:v>config</x:v>
      </x:c>
      <x:c r="C7" s="26" t="str">
        <x:v>config.json</x:v>
      </x:c>
      <x:c r="D7" s="26" t="str">
        <x:v>aaaaaaaaaaaaaaaaaaaaaaaaaaaaaaaaaaaaaaaa</x:v>
      </x:c>
      <x:c r="E7" s="26" t="str">
        <x:v>sha256:3333333333333333333333333333333333333333333333333333333333333333</x:v>
      </x:c>
      <x:c r="F7" s="26" t="str">
        <x:v>NO</x:v>
      </x:c>
      <x:c r="G7" s="26" t="str"/>
      <x:c r="H7" s="26" t="str">
        <x:v>NO</x:v>
      </x:c>
      <x:c r="I7" s="26" t="str"/>
      <x:c r="J7" s="26" t="str">
        <x:v>REQUIRED</x:v>
      </x:c>
      <x:c r="K7" s="26" t="str">
        <x:v>C01</x:v>
      </x:c>
    </x:row>
    <x:row r="8">
      <x:c r="A8" s="26" t="str">
        <x:v>C04</x:v>
      </x:c>
      <x:c r="B8" s="26" t="str">
        <x:v>tokenizer</x:v>
      </x:c>
      <x:c r="C8" s="26" t="str">
        <x:v>tokenizer.json</x:v>
      </x:c>
      <x:c r="D8" s="26" t="str">
        <x:v>aaaaaaaaaaaaaaaaaaaaaaaaaaaaaaaaaaaaaaaa</x:v>
      </x:c>
      <x:c r="E8" s="26" t="str">
        <x:v>sha256:4444444444444444444444444444444444444444444444444444444444444444</x:v>
      </x:c>
      <x:c r="F8" s="26" t="str">
        <x:v>NO</x:v>
      </x:c>
      <x:c r="G8" s="26" t="str"/>
      <x:c r="H8" s="26" t="str">
        <x:v>NO</x:v>
      </x:c>
      <x:c r="I8" s="26" t="str"/>
      <x:c r="J8" s="26" t="str">
        <x:v>REQUIRED</x:v>
      </x:c>
      <x:c r="K8" s="26" t="str">
        <x:v>C01</x:v>
      </x:c>
    </x:row>
    <x:row r="9">
      <x:c r="A9" s="26" t="str">
        <x:v>C05</x:v>
      </x:c>
      <x:c r="B9" s="26" t="str">
        <x:v>chat_template</x:v>
      </x:c>
      <x:c r="C9" s="26" t="str">
        <x:v>chat_template.jinja</x:v>
      </x:c>
      <x:c r="D9" s="26" t="str">
        <x:v>aaaaaaaaaaaaaaaaaaaaaaaaaaaaaaaaaaaaaaaa</x:v>
      </x:c>
      <x:c r="E9" s="26" t="str">
        <x:v>sha256:5555555555555555555555555555555555555555555555555555555555555555</x:v>
      </x:c>
      <x:c r="F9" s="26" t="str">
        <x:v>NO</x:v>
      </x:c>
      <x:c r="G9" s="26" t="str"/>
      <x:c r="H9" s="26" t="str">
        <x:v>NO</x:v>
      </x:c>
      <x:c r="I9" s="26" t="str"/>
      <x:c r="J9" s="26" t="str">
        <x:v>REQUIRED</x:v>
      </x:c>
      <x:c r="K9" s="26" t="str">
        <x:v>C01</x:v>
      </x:c>
    </x:row>
    <x:row r="10">
      <x:c r="A10" s="26" t="str">
        <x:v>C06</x:v>
      </x:c>
      <x:c r="B10" s="26" t="str">
        <x:v>serving_container</x:v>
      </x:c>
      <x:c r="C10" s="26" t="str">
        <x:v>registry.example/inference</x:v>
      </x:c>
      <x:c r="D10" s="26" t="str">
        <x:v>sha256:indexapproved</x:v>
      </x:c>
      <x:c r="E10" s="26" t="str">
        <x:v>sha256:6666666666666666666666666666666666666666666666666666666666666666</x:v>
      </x:c>
      <x:c r="F10" s="26" t="str">
        <x:v>YES</x:v>
      </x:c>
      <x:c r="G10" s="26" t="str">
        <x:v>https://github.com/example/inference/.github/workflows/release.yml@refs/tags/v*</x:v>
      </x:c>
      <x:c r="H10" s="26" t="str">
        <x:v>YES</x:v>
      </x:c>
      <x:c r="I10" s="26" t="str">
        <x:v>https://github.com/example/inference</x:v>
      </x:c>
      <x:c r="J10" s="26" t="str">
        <x:v>REQUIRED</x:v>
      </x:c>
      <x:c r="K10" s="26" t="str">
        <x:v>production</x:v>
      </x:c>
    </x:row>
    <x:row r="11">
      <x:c r="A11" s="26" t="str">
        <x:v>C07</x:v>
      </x:c>
      <x:c r="B11" s="26" t="str">
        <x:v>base_image</x:v>
      </x:c>
      <x:c r="C11" s="26" t="str">
        <x:v>registry.example/base</x:v>
      </x:c>
      <x:c r="D11" s="26" t="str">
        <x:v>sha256:baseapproved</x:v>
      </x:c>
      <x:c r="E11" s="26" t="str">
        <x:v>sha256:7777777777777777777777777777777777777777777777777777777777777777</x:v>
      </x:c>
      <x:c r="F11" s="26" t="str">
        <x:v>YES</x:v>
      </x:c>
      <x:c r="G11" s="26" t="str">
        <x:v>https://github.com/example/base/.github/workflows/release.yml@refs/tags/v*</x:v>
      </x:c>
      <x:c r="H11" s="26" t="str">
        <x:v>YES</x:v>
      </x:c>
      <x:c r="I11" s="26" t="str">
        <x:v>https://github.com/example/base</x:v>
      </x:c>
      <x:c r="J11" s="26" t="str">
        <x:v>REQUIRED</x:v>
      </x:c>
      <x:c r="K11" s="26" t="str">
        <x:v>C06</x:v>
      </x:c>
    </x:row>
    <x:row r="12">
      <x:c r="A12" s="26" t="str">
        <x:v>C08</x:v>
      </x:c>
      <x:c r="B12" s="26" t="str">
        <x:v>runtime_lock</x:v>
      </x:c>
      <x:c r="C12" s="26" t="str">
        <x:v>requirements.lock</x:v>
      </x:c>
      <x:c r="D12" s="26" t="str">
        <x:v>rev-runtime-1</x:v>
      </x:c>
      <x:c r="E12" s="26" t="str">
        <x:v>sha256:8888888888888888888888888888888888888888888888888888888888888888</x:v>
      </x:c>
      <x:c r="F12" s="26" t="str">
        <x:v>NO</x:v>
      </x:c>
      <x:c r="G12" s="26" t="str"/>
      <x:c r="H12" s="26" t="str">
        <x:v>YES</x:v>
      </x:c>
      <x:c r="I12" s="26" t="str">
        <x:v>https://github.com/example/inference</x:v>
      </x:c>
      <x:c r="J12" s="26" t="str">
        <x:v>REQUIRED</x:v>
      </x:c>
      <x:c r="K12" s="26" t="str">
        <x:v>C06</x:v>
      </x:c>
    </x:row>
    <x:row r="13">
      <x:c r="A13" s="26" t="str">
        <x:v>C09</x:v>
      </x:c>
      <x:c r="B13" s="26" t="str">
        <x:v>startup_config</x:v>
      </x:c>
      <x:c r="C13" s="26" t="str">
        <x:v>serve-config.yaml</x:v>
      </x:c>
      <x:c r="D13" s="26" t="str">
        <x:v>deploy-rev-42</x:v>
      </x:c>
      <x:c r="E13" s="26" t="str">
        <x:v>sha256:9999999999999999999999999999999999999999999999999999999999999999</x:v>
      </x:c>
      <x:c r="F13" s="26" t="str">
        <x:v>YES</x:v>
      </x:c>
      <x:c r="G13" s="26" t="str">
        <x:v>deploy-approver@example.com</x:v>
      </x:c>
      <x:c r="H13" s="26" t="str">
        <x:v>NO</x:v>
      </x:c>
      <x:c r="I13" s="26" t="str"/>
      <x:c r="J13" s="26" t="str">
        <x:v>REQUIRED</x:v>
      </x:c>
      <x:c r="K13" s="26" t="str">
        <x:v>production</x:v>
      </x:c>
    </x:row>
    <x:row r="14">
      <x:c r="A14" s="26" t="str">
        <x:v>C10</x:v>
      </x:c>
      <x:c r="B14" s="26" t="str">
        <x:v>policy_config</x:v>
      </x:c>
      <x:c r="C14" s="26" t="str">
        <x:v>policy.yaml</x:v>
      </x:c>
      <x:c r="D14" s="26" t="str">
        <x:v>deploy-rev-42</x:v>
      </x:c>
      <x:c r="E14" s="26" t="str">
        <x:v>sha256:aaaaaaaaaaaaaaaaaaaaaaaaaaaaaaaaaaaaaaaaaaaaaaaaaaaaaaaaaaaaaaaa</x:v>
      </x:c>
      <x:c r="F14" s="26" t="str">
        <x:v>YES</x:v>
      </x:c>
      <x:c r="G14" s="26" t="str">
        <x:v>security-approver@example.com</x:v>
      </x:c>
      <x:c r="H14" s="26" t="str">
        <x:v>NO</x:v>
      </x:c>
      <x:c r="I14" s="26" t="str"/>
      <x:c r="J14" s="26" t="str">
        <x:v>REQUIRED</x:v>
      </x:c>
      <x:c r="K14" s="26" t="str">
        <x:v>production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8" hidden="0" customWidth="1"/>
    <x:col min="5" max="5" width="50" hidden="0" customWidth="1"/>
    <x:col min="6" max="6" width="12" hidden="0" customWidth="1"/>
    <x:col min="7" max="7" width="42" hidden="0" customWidth="1"/>
    <x:col min="8" max="8" width="12" hidden="0" customWidth="1"/>
    <x:col min="9" max="9" width="42" hidden="0" customWidth="1"/>
    <x:col min="10" max="10" width="18" hidden="0" customWidth="1"/>
  </x:cols>
  <x:sheetData>
    <x:row r="1" ht="26" customHeight="1">
      <x:c r="A1" s="4" t="str">
        <x:v>OBSERVED DEPLOYMENT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What production actually reports/resolves in the defensive scenario.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Role</x:v>
      </x:c>
      <x:c r="C4" s="18" t="str">
        <x:v>Artifact/source</x:v>
      </x:c>
      <x:c r="D4" s="18" t="str">
        <x:v>Observed revision</x:v>
      </x:c>
      <x:c r="E4" s="18" t="str">
        <x:v>Observed digest</x:v>
      </x:c>
      <x:c r="F4" s="18" t="str">
        <x:v>Sig state</x:v>
      </x:c>
      <x:c r="G4" s="18" t="str">
        <x:v>Observed signer</x:v>
      </x:c>
      <x:c r="H4" s="18" t="str">
        <x:v>Prov state</x:v>
      </x:c>
      <x:c r="I4" s="18" t="str">
        <x:v>Observed builder/source</x:v>
      </x:c>
      <x:c r="J4" s="18" t="str">
        <x:v>Parent</x:v>
      </x:c>
    </x:row>
    <x:row r="5">
      <x:c r="A5" s="26" t="str">
        <x:v>C01</x:v>
      </x:c>
      <x:c r="B5" s="26" t="str">
        <x:v>model_snapshot</x:v>
      </x:c>
      <x:c r="C5" s="26" t="str">
        <x:v>hf://org/model</x:v>
      </x:c>
      <x:c r="D5" s="26" t="str">
        <x:v>aaaaaaaaaaaaaaaaaaaaaaaaaaaaaaaaaaaaaaaa</x:v>
      </x:c>
      <x:c r="E5" s="26" t="str">
        <x:v>sha256:1111111111111111111111111111111111111111111111111111111111111111</x:v>
      </x:c>
      <x:c r="F5" s="26" t="str">
        <x:v>N/A</x:v>
      </x:c>
      <x:c r="G5" s="26" t="str"/>
      <x:c r="H5" s="26" t="str">
        <x:v>N/A</x:v>
      </x:c>
      <x:c r="I5" s="26" t="str"/>
      <x:c r="J5" s="26" t="str">
        <x:v>production</x:v>
      </x:c>
    </x:row>
    <x:row r="6">
      <x:c r="A6" s="26" t="str">
        <x:v>C02</x:v>
      </x:c>
      <x:c r="B6" s="26" t="str">
        <x:v>weights_bundle</x:v>
      </x:c>
      <x:c r="C6" s="26" t="str">
        <x:v>model.safetensors.index.json + shards</x:v>
      </x:c>
      <x:c r="D6" s="26" t="str">
        <x:v>aaaaaaaaaaaaaaaaaaaaaaaaaaaaaaaaaaaaaaaa</x:v>
      </x:c>
      <x:c r="E6" s="26" t="str">
        <x:v>sha256:2222222222222222222222222222222222222222222222222222222222222222</x:v>
      </x:c>
      <x:c r="F6" s="26" t="str">
        <x:v>N/A</x:v>
      </x:c>
      <x:c r="G6" s="26" t="str"/>
      <x:c r="H6" s="26" t="str">
        <x:v>N/A</x:v>
      </x:c>
      <x:c r="I6" s="26" t="str"/>
      <x:c r="J6" s="26" t="str">
        <x:v>C01</x:v>
      </x:c>
    </x:row>
    <x:row r="7">
      <x:c r="A7" s="26" t="str">
        <x:v>C03</x:v>
      </x:c>
      <x:c r="B7" s="26" t="str">
        <x:v>config</x:v>
      </x:c>
      <x:c r="C7" s="26" t="str">
        <x:v>config.json</x:v>
      </x:c>
      <x:c r="D7" s="26" t="str">
        <x:v>aaaaaaaaaaaaaaaaaaaaaaaaaaaaaaaaaaaaaaaa</x:v>
      </x:c>
      <x:c r="E7" s="26" t="str">
        <x:v>sha256:3333333333333333333333333333333333333333333333333333333333333333</x:v>
      </x:c>
      <x:c r="F7" s="26" t="str">
        <x:v>N/A</x:v>
      </x:c>
      <x:c r="G7" s="26" t="str"/>
      <x:c r="H7" s="26" t="str">
        <x:v>N/A</x:v>
      </x:c>
      <x:c r="I7" s="26" t="str"/>
      <x:c r="J7" s="26" t="str">
        <x:v>C01</x:v>
      </x:c>
    </x:row>
    <x:row r="8">
      <x:c r="A8" s="26" t="str">
        <x:v>C04</x:v>
      </x:c>
      <x:c r="B8" s="26" t="str">
        <x:v>tokenizer</x:v>
      </x:c>
      <x:c r="C8" s="26" t="str">
        <x:v>tokenizer.json</x:v>
      </x:c>
      <x:c r="D8" s="26" t="str">
        <x:v>aaaaaaaaaaaaaaaaaaaaaaaaaaaaaaaaaaaaaaaa</x:v>
      </x:c>
      <x:c r="E8" s="26" t="str">
        <x:v>sha256:44ff444444444444444444444444444444444444444444444444444444444444</x:v>
      </x:c>
      <x:c r="F8" s="26" t="str">
        <x:v>N/A</x:v>
      </x:c>
      <x:c r="G8" s="26" t="str"/>
      <x:c r="H8" s="26" t="str">
        <x:v>N/A</x:v>
      </x:c>
      <x:c r="I8" s="26" t="str"/>
      <x:c r="J8" s="26" t="str">
        <x:v>C01</x:v>
      </x:c>
    </x:row>
    <x:row r="9">
      <x:c r="A9" s="26" t="str">
        <x:v>C05</x:v>
      </x:c>
      <x:c r="B9" s="26" t="str">
        <x:v>chat_template</x:v>
      </x:c>
      <x:c r="C9" s="26" t="str">
        <x:v>chat_template.jinja</x:v>
      </x:c>
      <x:c r="D9" s="26" t="str">
        <x:v>aaaaaaaaaaaaaaaaaaaaaaaaaaaaaaaaaaaaaaaa</x:v>
      </x:c>
      <x:c r="E9" s="26" t="str">
        <x:v>sha256:5555555555555555555555555555555555555555555555555555555555555555</x:v>
      </x:c>
      <x:c r="F9" s="26" t="str">
        <x:v>N/A</x:v>
      </x:c>
      <x:c r="G9" s="26" t="str"/>
      <x:c r="H9" s="26" t="str">
        <x:v>N/A</x:v>
      </x:c>
      <x:c r="I9" s="26" t="str"/>
      <x:c r="J9" s="26" t="str">
        <x:v>C01</x:v>
      </x:c>
    </x:row>
    <x:row r="10">
      <x:c r="A10" s="26" t="str">
        <x:v>C06</x:v>
      </x:c>
      <x:c r="B10" s="26" t="str">
        <x:v>serving_container</x:v>
      </x:c>
      <x:c r="C10" s="26" t="str">
        <x:v>registry.example/inference</x:v>
      </x:c>
      <x:c r="D10" s="26" t="str">
        <x:v>sha256:indexapproved</x:v>
      </x:c>
      <x:c r="E10" s="26" t="str">
        <x:v>sha256:6666666666666666666666666666666666666666666666666666666666666666</x:v>
      </x:c>
      <x:c r="F10" s="26" t="str">
        <x:v>VALID</x:v>
      </x:c>
      <x:c r="G10" s="26" t="str">
        <x:v>https://github.com/example/inference/.github/workflows/release.yml@refs/tags/v1.2.3</x:v>
      </x:c>
      <x:c r="H10" s="26" t="str">
        <x:v>VALID</x:v>
      </x:c>
      <x:c r="I10" s="26" t="str">
        <x:v>https://github.com/example/inference</x:v>
      </x:c>
      <x:c r="J10" s="26" t="str">
        <x:v>production</x:v>
      </x:c>
    </x:row>
    <x:row r="11">
      <x:c r="A11" s="26" t="str">
        <x:v>C07</x:v>
      </x:c>
      <x:c r="B11" s="26" t="str">
        <x:v>base_image</x:v>
      </x:c>
      <x:c r="C11" s="26" t="str">
        <x:v>registry.example/base</x:v>
      </x:c>
      <x:c r="D11" s="26" t="str">
        <x:v>sha256:baseapproved</x:v>
      </x:c>
      <x:c r="E11" s="26" t="str">
        <x:v>sha256:7777777777777777777777777777777777777777777777777777777777777777</x:v>
      </x:c>
      <x:c r="F11" s="26" t="str">
        <x:v>VALID</x:v>
      </x:c>
      <x:c r="G11" s="26" t="str">
        <x:v>https://github.com/example/base/.github/workflows/release.yml@refs/tags/v3.4.5</x:v>
      </x:c>
      <x:c r="H11" s="26" t="str">
        <x:v>VALID</x:v>
      </x:c>
      <x:c r="I11" s="26" t="str">
        <x:v>https://github.com/example/base</x:v>
      </x:c>
      <x:c r="J11" s="26" t="str">
        <x:v>C06</x:v>
      </x:c>
    </x:row>
    <x:row r="12">
      <x:c r="A12" s="26" t="str">
        <x:v>C08</x:v>
      </x:c>
      <x:c r="B12" s="26" t="str">
        <x:v>runtime_lock</x:v>
      </x:c>
      <x:c r="C12" s="26" t="str">
        <x:v>requirements.lock</x:v>
      </x:c>
      <x:c r="D12" s="26" t="str">
        <x:v>rev-runtime-1</x:v>
      </x:c>
      <x:c r="E12" s="26" t="str">
        <x:v>sha256:8888888888888888888888888888888888888888888888888888888888888888</x:v>
      </x:c>
      <x:c r="F12" s="26" t="str">
        <x:v>N/A</x:v>
      </x:c>
      <x:c r="G12" s="26" t="str"/>
      <x:c r="H12" s="26" t="str">
        <x:v>VALID</x:v>
      </x:c>
      <x:c r="I12" s="26" t="str">
        <x:v>https://github.com/example/inference</x:v>
      </x:c>
      <x:c r="J12" s="26" t="str">
        <x:v>C06</x:v>
      </x:c>
    </x:row>
    <x:row r="13">
      <x:c r="A13" s="26" t="str">
        <x:v>C09</x:v>
      </x:c>
      <x:c r="B13" s="26" t="str">
        <x:v>startup_config</x:v>
      </x:c>
      <x:c r="C13" s="26" t="str">
        <x:v>serve-config.yaml</x:v>
      </x:c>
      <x:c r="D13" s="26" t="str">
        <x:v>deploy-rev-42</x:v>
      </x:c>
      <x:c r="E13" s="26" t="str">
        <x:v>sha256:9999999999999999999999999999999999999999999999999999999999999999</x:v>
      </x:c>
      <x:c r="F13" s="26" t="str">
        <x:v>VALID</x:v>
      </x:c>
      <x:c r="G13" s="26" t="str">
        <x:v>deploy-approver@example.com</x:v>
      </x:c>
      <x:c r="H13" s="26" t="str">
        <x:v>N/A</x:v>
      </x:c>
      <x:c r="I13" s="26" t="str"/>
      <x:c r="J13" s="26" t="str">
        <x:v>production</x:v>
      </x:c>
    </x:row>
    <x:row r="14">
      <x:c r="A14" s="26" t="str">
        <x:v>C10</x:v>
      </x:c>
      <x:c r="B14" s="26" t="str">
        <x:v>policy_config</x:v>
      </x:c>
      <x:c r="C14" s="26" t="str">
        <x:v>policy.yaml</x:v>
      </x:c>
      <x:c r="D14" s="26" t="str">
        <x:v>deploy-rev-42</x:v>
      </x:c>
      <x:c r="E14" s="26" t="str">
        <x:v>sha256:aaaaaaaaaaaaaaaaaaaaaaaaaaaaaaaaaaaaaaaaaaaaaaaaaaaaaaaaaaaaaaaa</x:v>
      </x:c>
      <x:c r="F14" s="26" t="str">
        <x:v>VALID</x:v>
      </x:c>
      <x:c r="G14" s="26" t="str">
        <x:v>security-approver@example.com</x:v>
      </x:c>
      <x:c r="H14" s="26" t="str">
        <x:v>N/A</x:v>
      </x:c>
      <x:c r="I14" s="26" t="str"/>
      <x:c r="J14" s="26" t="str">
        <x:v>production</x:v>
      </x:c>
    </x:row>
    <x:row r="15">
      <x:c r="A15" s="26" t="str">
        <x:v>U01</x:v>
      </x:c>
      <x:c r="B15" s="26" t="str">
        <x:v>adapter</x:v>
      </x:c>
      <x:c r="C15" s="26" t="str">
        <x:v>adapter_model.safetensors</x:v>
      </x:c>
      <x:c r="D15" s="26" t="str">
        <x:v>adapter-rev-unapproved</x:v>
      </x:c>
      <x:c r="E15" s="26" t="str">
        <x:v>sha256:bbbbbbbbbbbbbbbbbbbbbbbbbbbbbbbbbbbbbbbbbbbbbbbbbbbbbbbbbbbbbbbb</x:v>
      </x:c>
      <x:c r="F15" s="26" t="str">
        <x:v>N/A</x:v>
      </x:c>
      <x:c r="G15" s="26" t="str"/>
      <x:c r="H15" s="26" t="str">
        <x:v>N/A</x:v>
      </x:c>
      <x:c r="I15" s="26" t="str"/>
      <x:c r="J15" s="26" t="str">
        <x:v>C01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16" hidden="0" customWidth="1"/>
    <x:col min="5" max="5" width="34" hidden="0" customWidth="1"/>
  </x:cols>
  <x:sheetData>
    <x:row r="1" ht="26" customHeight="1">
      <x:c r="A1" s="4" t="str">
        <x:v>DIGEST CHECKS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A digest establishes content identity against an expected digest; it does not itself establish origin/provenance.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Expected digest</x:v>
      </x:c>
      <x:c r="C4" s="18" t="str">
        <x:v>Observed digest</x:v>
      </x:c>
      <x:c r="D4" s="18" t="str">
        <x:v>Digest match</x:v>
      </x:c>
      <x:c r="E4" s="18" t="str">
        <x:v>Interpretation</x:v>
      </x:c>
    </x:row>
    <x:row r="5">
      <x:c r="A5" s="26" t="str">
        <x:v>C01</x:v>
      </x:c>
      <x:c r="B5" s="26" t="str">
        <x:v>sha256:1111111111111111111111111111111111111111111111111111111111111111</x:v>
      </x:c>
      <x:c r="C5" s="26" t="str">
        <x:v>sha256:1111111111111111111111111111111111111111111111111111111111111111</x:v>
      </x:c>
      <x:c r="D5" s="26" t="str">
        <x:f>IF(C5="MISSING","MISSING",IF(B5=C5,"MATCH","CHANGED"))</x:f>
        <x:v>MATCH</x:v>
      </x:c>
      <x:c r="E5" s="26" t="str">
        <x:f>IF(D5="MATCH","Expected bytes observed",IF(D5="MISSING","Approved component absent","Immutable content identity differs"))</x:f>
        <x:v>Expected bytes observed</x:v>
      </x:c>
    </x:row>
    <x:row r="6">
      <x:c r="A6" s="26" t="str">
        <x:v>C02</x:v>
      </x:c>
      <x:c r="B6" s="26" t="str">
        <x:v>sha256:2222222222222222222222222222222222222222222222222222222222222222</x:v>
      </x:c>
      <x:c r="C6" s="26" t="str">
        <x:v>sha256:2222222222222222222222222222222222222222222222222222222222222222</x:v>
      </x:c>
      <x:c r="D6" s="26" t="str">
        <x:f>IF(C6="MISSING","MISSING",IF(B6=C6,"MATCH","CHANGED"))</x:f>
        <x:v>MATCH</x:v>
      </x:c>
      <x:c r="E6" s="26" t="str">
        <x:f>IF(D6="MATCH","Expected bytes observed",IF(D6="MISSING","Approved component absent","Immutable content identity differs"))</x:f>
        <x:v>Expected bytes observed</x:v>
      </x:c>
    </x:row>
    <x:row r="7">
      <x:c r="A7" s="26" t="str">
        <x:v>C03</x:v>
      </x:c>
      <x:c r="B7" s="26" t="str">
        <x:v>sha256:3333333333333333333333333333333333333333333333333333333333333333</x:v>
      </x:c>
      <x:c r="C7" s="26" t="str">
        <x:v>sha256:3333333333333333333333333333333333333333333333333333333333333333</x:v>
      </x:c>
      <x:c r="D7" s="26" t="str">
        <x:f>IF(C7="MISSING","MISSING",IF(B7=C7,"MATCH","CHANGED"))</x:f>
        <x:v>MATCH</x:v>
      </x:c>
      <x:c r="E7" s="26" t="str">
        <x:f>IF(D7="MATCH","Expected bytes observed",IF(D7="MISSING","Approved component absent","Immutable content identity differs"))</x:f>
        <x:v>Expected bytes observed</x:v>
      </x:c>
    </x:row>
    <x:row r="8">
      <x:c r="A8" s="26" t="str">
        <x:v>C04</x:v>
      </x:c>
      <x:c r="B8" s="26" t="str">
        <x:v>sha256:4444444444444444444444444444444444444444444444444444444444444444</x:v>
      </x:c>
      <x:c r="C8" s="26" t="str">
        <x:v>sha256:44ff444444444444444444444444444444444444444444444444444444444444</x:v>
      </x:c>
      <x:c r="D8" s="26" t="str">
        <x:f>IF(C8="MISSING","MISSING",IF(B8=C8,"MATCH","CHANGED"))</x:f>
        <x:v>CHANGED</x:v>
      </x:c>
      <x:c r="E8" s="26" t="str">
        <x:f>IF(D8="MATCH","Expected bytes observed",IF(D8="MISSING","Approved component absent","Immutable content identity differs"))</x:f>
        <x:v>Immutable content identity differs</x:v>
      </x:c>
    </x:row>
    <x:row r="9">
      <x:c r="A9" s="26" t="str">
        <x:v>C05</x:v>
      </x:c>
      <x:c r="B9" s="26" t="str">
        <x:v>sha256:5555555555555555555555555555555555555555555555555555555555555555</x:v>
      </x:c>
      <x:c r="C9" s="26" t="str">
        <x:v>sha256:5555555555555555555555555555555555555555555555555555555555555555</x:v>
      </x:c>
      <x:c r="D9" s="26" t="str">
        <x:f>IF(C9="MISSING","MISSING",IF(B9=C9,"MATCH","CHANGED"))</x:f>
        <x:v>MATCH</x:v>
      </x:c>
      <x:c r="E9" s="26" t="str">
        <x:f>IF(D9="MATCH","Expected bytes observed",IF(D9="MISSING","Approved component absent","Immutable content identity differs"))</x:f>
        <x:v>Expected bytes observed</x:v>
      </x:c>
    </x:row>
    <x:row r="10">
      <x:c r="A10" s="26" t="str">
        <x:v>C06</x:v>
      </x:c>
      <x:c r="B10" s="26" t="str">
        <x:v>sha256:6666666666666666666666666666666666666666666666666666666666666666</x:v>
      </x:c>
      <x:c r="C10" s="26" t="str">
        <x:v>sha256:6666666666666666666666666666666666666666666666666666666666666666</x:v>
      </x:c>
      <x:c r="D10" s="26" t="str">
        <x:f>IF(C10="MISSING","MISSING",IF(B10=C10,"MATCH","CHANGED"))</x:f>
        <x:v>MATCH</x:v>
      </x:c>
      <x:c r="E10" s="26" t="str">
        <x:f>IF(D10="MATCH","Expected bytes observed",IF(D10="MISSING","Approved component absent","Immutable content identity differs"))</x:f>
        <x:v>Expected bytes observed</x:v>
      </x:c>
    </x:row>
    <x:row r="11">
      <x:c r="A11" s="26" t="str">
        <x:v>C07</x:v>
      </x:c>
      <x:c r="B11" s="26" t="str">
        <x:v>sha256:7777777777777777777777777777777777777777777777777777777777777777</x:v>
      </x:c>
      <x:c r="C11" s="26" t="str">
        <x:v>sha256:7777777777777777777777777777777777777777777777777777777777777777</x:v>
      </x:c>
      <x:c r="D11" s="26" t="str">
        <x:f>IF(C11="MISSING","MISSING",IF(B11=C11,"MATCH","CHANGED"))</x:f>
        <x:v>MATCH</x:v>
      </x:c>
      <x:c r="E11" s="26" t="str">
        <x:f>IF(D11="MATCH","Expected bytes observed",IF(D11="MISSING","Approved component absent","Immutable content identity differs"))</x:f>
        <x:v>Expected bytes observed</x:v>
      </x:c>
    </x:row>
    <x:row r="12">
      <x:c r="A12" s="26" t="str">
        <x:v>C08</x:v>
      </x:c>
      <x:c r="B12" s="26" t="str">
        <x:v>sha256:8888888888888888888888888888888888888888888888888888888888888888</x:v>
      </x:c>
      <x:c r="C12" s="26" t="str">
        <x:v>sha256:8888888888888888888888888888888888888888888888888888888888888888</x:v>
      </x:c>
      <x:c r="D12" s="26" t="str">
        <x:f>IF(C12="MISSING","MISSING",IF(B12=C12,"MATCH","CHANGED"))</x:f>
        <x:v>MATCH</x:v>
      </x:c>
      <x:c r="E12" s="26" t="str">
        <x:f>IF(D12="MATCH","Expected bytes observed",IF(D12="MISSING","Approved component absent","Immutable content identity differs"))</x:f>
        <x:v>Expected bytes observed</x:v>
      </x:c>
    </x:row>
    <x:row r="13">
      <x:c r="A13" s="26" t="str">
        <x:v>C09</x:v>
      </x:c>
      <x:c r="B13" s="26" t="str">
        <x:v>sha256:9999999999999999999999999999999999999999999999999999999999999999</x:v>
      </x:c>
      <x:c r="C13" s="26" t="str">
        <x:v>sha256:9999999999999999999999999999999999999999999999999999999999999999</x:v>
      </x:c>
      <x:c r="D13" s="26" t="str">
        <x:f>IF(C13="MISSING","MISSING",IF(B13=C13,"MATCH","CHANGED"))</x:f>
        <x:v>MATCH</x:v>
      </x:c>
      <x:c r="E13" s="26" t="str">
        <x:f>IF(D13="MATCH","Expected bytes observed",IF(D13="MISSING","Approved component absent","Immutable content identity differs"))</x:f>
        <x:v>Expected bytes observed</x:v>
      </x:c>
    </x:row>
    <x:row r="14">
      <x:c r="A14" s="26" t="str">
        <x:v>C10</x:v>
      </x:c>
      <x:c r="B14" s="26" t="str">
        <x:v>sha256:aaaaaaaaaaaaaaaaaaaaaaaaaaaaaaaaaaaaaaaaaaaaaaaaaaaaaaaaaaaaaaaa</x:v>
      </x:c>
      <x:c r="C14" s="26" t="str">
        <x:v>sha256:aaaaaaaaaaaaaaaaaaaaaaaaaaaaaaaaaaaaaaaaaaaaaaaaaaaaaaaaaaaaaaaa</x:v>
      </x:c>
      <x:c r="D14" s="26" t="str">
        <x:f>IF(C14="MISSING","MISSING",IF(B14=C14,"MATCH","CHANGED"))</x:f>
        <x:v>MATCH</x:v>
      </x:c>
      <x:c r="E14" s="26" t="str">
        <x:f>IF(D14="MATCH","Expected bytes observed",IF(D14="MISSING","Approved component absent","Immutable content identity differs"))</x:f>
        <x:v>Expected bytes observed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8" hidden="0" customWidth="1"/>
    <x:col min="4" max="4" width="14" hidden="0" customWidth="1"/>
    <x:col min="5" max="5" width="48" hidden="0" customWidth="1"/>
    <x:col min="6" max="6" width="20" hidden="0" customWidth="1"/>
  </x:cols>
  <x:sheetData>
    <x:row r="1" ht="26" customHeight="1">
      <x:c r="A1" s="4" t="str">
        <x:v>SIGNATURE / IDENTITY CHECKS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Signature required only where policy says so. Valid cryptography is not enough if signer identity is unexpected.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Required?</x:v>
      </x:c>
      <x:c r="C4" s="18" t="str">
        <x:v>Expected signer</x:v>
      </x:c>
      <x:c r="D4" s="18" t="str">
        <x:v>Observed state</x:v>
      </x:c>
      <x:c r="E4" s="18" t="str">
        <x:v>Observed signer</x:v>
      </x:c>
      <x:c r="F4" s="18" t="str">
        <x:v>Result</x:v>
      </x:c>
    </x:row>
    <x:row r="5">
      <x:c r="A5" s="26" t="str">
        <x:v>C01</x:v>
      </x:c>
      <x:c r="B5" s="26" t="str">
        <x:v>NO</x:v>
      </x:c>
      <x:c r="C5" s="26" t="str"/>
      <x:c r="D5" s="26" t="str">
        <x:v>N/A</x:v>
      </x:c>
      <x:c r="E5" s="26" t="str"/>
      <x:c r="F5" s="26" t="str">
        <x:v>N/A</x:v>
      </x:c>
    </x:row>
    <x:row r="6">
      <x:c r="A6" s="26" t="str">
        <x:v>C02</x:v>
      </x:c>
      <x:c r="B6" s="26" t="str">
        <x:v>NO</x:v>
      </x:c>
      <x:c r="C6" s="26" t="str"/>
      <x:c r="D6" s="26" t="str">
        <x:v>N/A</x:v>
      </x:c>
      <x:c r="E6" s="26" t="str"/>
      <x:c r="F6" s="26" t="str">
        <x:v>N/A</x:v>
      </x:c>
    </x:row>
    <x:row r="7">
      <x:c r="A7" s="26" t="str">
        <x:v>C03</x:v>
      </x:c>
      <x:c r="B7" s="26" t="str">
        <x:v>NO</x:v>
      </x:c>
      <x:c r="C7" s="26" t="str"/>
      <x:c r="D7" s="26" t="str">
        <x:v>N/A</x:v>
      </x:c>
      <x:c r="E7" s="26" t="str"/>
      <x:c r="F7" s="26" t="str">
        <x:v>N/A</x:v>
      </x:c>
    </x:row>
    <x:row r="8">
      <x:c r="A8" s="26" t="str">
        <x:v>C04</x:v>
      </x:c>
      <x:c r="B8" s="26" t="str">
        <x:v>NO</x:v>
      </x:c>
      <x:c r="C8" s="26" t="str"/>
      <x:c r="D8" s="26" t="str">
        <x:v>N/A</x:v>
      </x:c>
      <x:c r="E8" s="26" t="str"/>
      <x:c r="F8" s="26" t="str">
        <x:v>N/A</x:v>
      </x:c>
    </x:row>
    <x:row r="9">
      <x:c r="A9" s="26" t="str">
        <x:v>C05</x:v>
      </x:c>
      <x:c r="B9" s="26" t="str">
        <x:v>NO</x:v>
      </x:c>
      <x:c r="C9" s="26" t="str"/>
      <x:c r="D9" s="26" t="str">
        <x:v>N/A</x:v>
      </x:c>
      <x:c r="E9" s="26" t="str"/>
      <x:c r="F9" s="26" t="str">
        <x:v>N/A</x:v>
      </x:c>
    </x:row>
    <x:row r="10">
      <x:c r="A10" s="26" t="str">
        <x:v>C06</x:v>
      </x:c>
      <x:c r="B10" s="26" t="str">
        <x:v>YES</x:v>
      </x:c>
      <x:c r="C10" s="26" t="str">
        <x:v>https://github.com/example/inference/.github/workflows/release.yml@refs/tags/v*</x:v>
      </x:c>
      <x:c r="D10" s="26" t="str">
        <x:v>VALID</x:v>
      </x:c>
      <x:c r="E10" s="26" t="str">
        <x:v>https://github.com/example/inference/.github/workflows/release.yml@refs/tags/v1.2.3</x:v>
      </x:c>
      <x:c r="F10" s="26" t="str">
        <x:f>IF(D10="VALID",IF(OR(C10="",LEFT(E10,LEN(IFERROR(TEXTBEFORE(C10,"@refs/tags/"),C10)))=LEFT(C10,LEN(IFERROR(TEXTBEFORE(C10,"@refs/tags/"),C10)))),"PASS","IDENTITY MISMATCH"),"FAIL/UNKNOWN")</x:f>
        <x:v>PASS</x:v>
      </x:c>
    </x:row>
    <x:row r="11">
      <x:c r="A11" s="26" t="str">
        <x:v>C07</x:v>
      </x:c>
      <x:c r="B11" s="26" t="str">
        <x:v>YES</x:v>
      </x:c>
      <x:c r="C11" s="26" t="str">
        <x:v>https://github.com/example/base/.github/workflows/release.yml@refs/tags/v*</x:v>
      </x:c>
      <x:c r="D11" s="26" t="str">
        <x:v>VALID</x:v>
      </x:c>
      <x:c r="E11" s="26" t="str">
        <x:v>https://github.com/example/base/.github/workflows/release.yml@refs/tags/v3.4.5</x:v>
      </x:c>
      <x:c r="F11" s="26" t="str">
        <x:f>IF(D11="VALID",IF(OR(C11="",LEFT(E11,LEN(IFERROR(TEXTBEFORE(C11,"@refs/tags/"),C11)))=LEFT(C11,LEN(IFERROR(TEXTBEFORE(C11,"@refs/tags/"),C11)))),"PASS","IDENTITY MISMATCH"),"FAIL/UNKNOWN")</x:f>
        <x:v>PASS</x:v>
      </x:c>
    </x:row>
    <x:row r="12">
      <x:c r="A12" s="26" t="str">
        <x:v>C08</x:v>
      </x:c>
      <x:c r="B12" s="26" t="str">
        <x:v>NO</x:v>
      </x:c>
      <x:c r="C12" s="26" t="str"/>
      <x:c r="D12" s="26" t="str">
        <x:v>N/A</x:v>
      </x:c>
      <x:c r="E12" s="26" t="str"/>
      <x:c r="F12" s="26" t="str">
        <x:v>N/A</x:v>
      </x:c>
    </x:row>
    <x:row r="13">
      <x:c r="A13" s="26" t="str">
        <x:v>C09</x:v>
      </x:c>
      <x:c r="B13" s="26" t="str">
        <x:v>YES</x:v>
      </x:c>
      <x:c r="C13" s="26" t="str">
        <x:v>deploy-approver@example.com</x:v>
      </x:c>
      <x:c r="D13" s="26" t="str">
        <x:v>VALID</x:v>
      </x:c>
      <x:c r="E13" s="26" t="str">
        <x:v>deploy-approver@example.com</x:v>
      </x:c>
      <x:c r="F13" s="26" t="str">
        <x:f>IF(D13="VALID",IF(OR(C13="",LEFT(E13,LEN(IFERROR(TEXTBEFORE(C13,"@refs/tags/"),C13)))=LEFT(C13,LEN(IFERROR(TEXTBEFORE(C13,"@refs/tags/"),C13)))),"PASS","IDENTITY MISMATCH"),"FAIL/UNKNOWN")</x:f>
        <x:v>PASS</x:v>
      </x:c>
    </x:row>
    <x:row r="14">
      <x:c r="A14" s="26" t="str">
        <x:v>C10</x:v>
      </x:c>
      <x:c r="B14" s="26" t="str">
        <x:v>YES</x:v>
      </x:c>
      <x:c r="C14" s="26" t="str">
        <x:v>security-approver@example.com</x:v>
      </x:c>
      <x:c r="D14" s="26" t="str">
        <x:v>VALID</x:v>
      </x:c>
      <x:c r="E14" s="26" t="str">
        <x:v>security-approver@example.com</x:v>
      </x:c>
      <x:c r="F14" s="26" t="str">
        <x:f>IF(D14="VALID",IF(OR(C14="",LEFT(E14,LEN(IFERROR(TEXTBEFORE(C14,"@refs/tags/"),C14)))=LEFT(C14,LEN(IFERROR(TEXTBEFORE(C14,"@refs/tags/"),C14)))),"PASS","IDENTITY MISMATCH"),"FAIL/UNKNOWN")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14" hidden="0" customWidth="1"/>
    <x:col min="5" max="5" width="44" hidden="0" customWidth="1"/>
    <x:col min="6" max="6" width="18" hidden="0" customWidth="1"/>
  </x:cols>
  <x:sheetData>
    <x:row r="1" ht="26" customHeight="1">
      <x:c r="A1" s="4" t="str">
        <x:v>PROVENANCE CHECKS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Required provenance must be authenticated and compared with builder/source expectations.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Required?</x:v>
      </x:c>
      <x:c r="C4" s="18" t="str">
        <x:v>Expected builder/source</x:v>
      </x:c>
      <x:c r="D4" s="18" t="str">
        <x:v>Observed state</x:v>
      </x:c>
      <x:c r="E4" s="18" t="str">
        <x:v>Observed builder/source</x:v>
      </x:c>
      <x:c r="F4" s="18" t="str">
        <x:v>Result</x:v>
      </x:c>
    </x:row>
    <x:row r="5">
      <x:c r="A5" s="26" t="str">
        <x:v>C01</x:v>
      </x:c>
      <x:c r="B5" s="26" t="str">
        <x:v>NO</x:v>
      </x:c>
      <x:c r="C5" s="26" t="str"/>
      <x:c r="D5" s="26" t="str">
        <x:v>N/A</x:v>
      </x:c>
      <x:c r="E5" s="26" t="str"/>
      <x:c r="F5" s="26" t="str">
        <x:v>N/A</x:v>
      </x:c>
    </x:row>
    <x:row r="6">
      <x:c r="A6" s="26" t="str">
        <x:v>C02</x:v>
      </x:c>
      <x:c r="B6" s="26" t="str">
        <x:v>NO</x:v>
      </x:c>
      <x:c r="C6" s="26" t="str"/>
      <x:c r="D6" s="26" t="str">
        <x:v>N/A</x:v>
      </x:c>
      <x:c r="E6" s="26" t="str"/>
      <x:c r="F6" s="26" t="str">
        <x:v>N/A</x:v>
      </x:c>
    </x:row>
    <x:row r="7">
      <x:c r="A7" s="26" t="str">
        <x:v>C03</x:v>
      </x:c>
      <x:c r="B7" s="26" t="str">
        <x:v>NO</x:v>
      </x:c>
      <x:c r="C7" s="26" t="str"/>
      <x:c r="D7" s="26" t="str">
        <x:v>N/A</x:v>
      </x:c>
      <x:c r="E7" s="26" t="str"/>
      <x:c r="F7" s="26" t="str">
        <x:v>N/A</x:v>
      </x:c>
    </x:row>
    <x:row r="8">
      <x:c r="A8" s="26" t="str">
        <x:v>C04</x:v>
      </x:c>
      <x:c r="B8" s="26" t="str">
        <x:v>NO</x:v>
      </x:c>
      <x:c r="C8" s="26" t="str"/>
      <x:c r="D8" s="26" t="str">
        <x:v>N/A</x:v>
      </x:c>
      <x:c r="E8" s="26" t="str"/>
      <x:c r="F8" s="26" t="str">
        <x:v>N/A</x:v>
      </x:c>
    </x:row>
    <x:row r="9">
      <x:c r="A9" s="26" t="str">
        <x:v>C05</x:v>
      </x:c>
      <x:c r="B9" s="26" t="str">
        <x:v>NO</x:v>
      </x:c>
      <x:c r="C9" s="26" t="str"/>
      <x:c r="D9" s="26" t="str">
        <x:v>N/A</x:v>
      </x:c>
      <x:c r="E9" s="26" t="str"/>
      <x:c r="F9" s="26" t="str">
        <x:v>N/A</x:v>
      </x:c>
    </x:row>
    <x:row r="10">
      <x:c r="A10" s="26" t="str">
        <x:v>C06</x:v>
      </x:c>
      <x:c r="B10" s="26" t="str">
        <x:v>YES</x:v>
      </x:c>
      <x:c r="C10" s="26" t="str">
        <x:v>https://github.com/example/inference</x:v>
      </x:c>
      <x:c r="D10" s="26" t="str">
        <x:v>VALID</x:v>
      </x:c>
      <x:c r="E10" s="26" t="str">
        <x:v>https://github.com/example/inference</x:v>
      </x:c>
      <x:c r="F10" s="26" t="str">
        <x:f>IF(AND(D10="VALID",C10=E10),"PASS",IF(OR(D10="UNKNOWN",E10=""),"UNKNOWN","FAIL"))</x:f>
        <x:v>PASS</x:v>
      </x:c>
    </x:row>
    <x:row r="11">
      <x:c r="A11" s="26" t="str">
        <x:v>C07</x:v>
      </x:c>
      <x:c r="B11" s="26" t="str">
        <x:v>YES</x:v>
      </x:c>
      <x:c r="C11" s="26" t="str">
        <x:v>https://github.com/example/base</x:v>
      </x:c>
      <x:c r="D11" s="26" t="str">
        <x:v>VALID</x:v>
      </x:c>
      <x:c r="E11" s="26" t="str">
        <x:v>https://github.com/example/base</x:v>
      </x:c>
      <x:c r="F11" s="26" t="str">
        <x:f>IF(AND(D11="VALID",C11=E11),"PASS",IF(OR(D11="UNKNOWN",E11=""),"UNKNOWN","FAIL"))</x:f>
        <x:v>PASS</x:v>
      </x:c>
    </x:row>
    <x:row r="12">
      <x:c r="A12" s="26" t="str">
        <x:v>C08</x:v>
      </x:c>
      <x:c r="B12" s="26" t="str">
        <x:v>YES</x:v>
      </x:c>
      <x:c r="C12" s="26" t="str">
        <x:v>https://github.com/example/inference</x:v>
      </x:c>
      <x:c r="D12" s="26" t="str">
        <x:v>VALID</x:v>
      </x:c>
      <x:c r="E12" s="26" t="str">
        <x:v>https://github.com/example/inference</x:v>
      </x:c>
      <x:c r="F12" s="26" t="str">
        <x:f>IF(AND(D12="VALID",C12=E12),"PASS",IF(OR(D12="UNKNOWN",E12=""),"UNKNOWN","FAIL"))</x:f>
        <x:v>PASS</x:v>
      </x:c>
    </x:row>
    <x:row r="13">
      <x:c r="A13" s="26" t="str">
        <x:v>C09</x:v>
      </x:c>
      <x:c r="B13" s="26" t="str">
        <x:v>NO</x:v>
      </x:c>
      <x:c r="C13" s="26" t="str"/>
      <x:c r="D13" s="26" t="str">
        <x:v>N/A</x:v>
      </x:c>
      <x:c r="E13" s="26" t="str"/>
      <x:c r="F13" s="26" t="str">
        <x:v>N/A</x:v>
      </x:c>
    </x:row>
    <x:row r="14">
      <x:c r="A14" s="26" t="str">
        <x:v>C10</x:v>
      </x:c>
      <x:c r="B14" s="26" t="str">
        <x:v>NO</x:v>
      </x:c>
      <x:c r="C14" s="26" t="str"/>
      <x:c r="D14" s="26" t="str">
        <x:v>N/A</x:v>
      </x:c>
      <x:c r="E14" s="26" t="str"/>
      <x:c r="F14" s="26" t="str">
        <x:v>N/A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</x:cols>
  <x:sheetData>
    <x:row r="1" ht="26" customHeight="1">
      <x:c r="A1" s="4" t="str">
        <x:v>COMPONENT POLICY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Required-check set Q(v). A component passes only when every required check passes.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Role</x:v>
      </x:c>
      <x:c r="C4" s="18" t="str">
        <x:v>Digest required</x:v>
      </x:c>
      <x:c r="D4" s="18" t="str">
        <x:v>Signature required</x:v>
      </x:c>
      <x:c r="E4" s="18" t="str">
        <x:v>Provenance required</x:v>
      </x:c>
      <x:c r="F4" s="18" t="str">
        <x:v>Unexpected allowed</x:v>
      </x:c>
      <x:c r="G4" s="18" t="str">
        <x:v>Unknown behavior</x:v>
      </x:c>
    </x:row>
    <x:row r="5">
      <x:c r="A5" t="str">
        <x:v>C01</x:v>
      </x:c>
      <x:c r="B5" t="str">
        <x:v>model_snapshot</x:v>
      </x:c>
      <x:c r="C5" t="str">
        <x:v>YES</x:v>
      </x:c>
      <x:c r="D5" t="str">
        <x:v>NO</x:v>
      </x:c>
      <x:c r="E5" t="str">
        <x:v>NO</x:v>
      </x:c>
      <x:c r="F5" t="str">
        <x:v>NO</x:v>
      </x:c>
      <x:c r="G5" t="str">
        <x:v>FAIL CLOSED</x:v>
      </x:c>
    </x:row>
    <x:row r="6">
      <x:c r="A6" t="str">
        <x:v>C02</x:v>
      </x:c>
      <x:c r="B6" t="str">
        <x:v>weights_bundle</x:v>
      </x:c>
      <x:c r="C6" t="str">
        <x:v>YES</x:v>
      </x:c>
      <x:c r="D6" t="str">
        <x:v>NO</x:v>
      </x:c>
      <x:c r="E6" t="str">
        <x:v>NO</x:v>
      </x:c>
      <x:c r="F6" t="str">
        <x:v>NO</x:v>
      </x:c>
      <x:c r="G6" t="str">
        <x:v>FAIL CLOSED</x:v>
      </x:c>
    </x:row>
    <x:row r="7">
      <x:c r="A7" t="str">
        <x:v>C03</x:v>
      </x:c>
      <x:c r="B7" t="str">
        <x:v>config</x:v>
      </x:c>
      <x:c r="C7" t="str">
        <x:v>YES</x:v>
      </x:c>
      <x:c r="D7" t="str">
        <x:v>NO</x:v>
      </x:c>
      <x:c r="E7" t="str">
        <x:v>NO</x:v>
      </x:c>
      <x:c r="F7" t="str">
        <x:v>NO</x:v>
      </x:c>
      <x:c r="G7" t="str">
        <x:v>FAIL CLOSED</x:v>
      </x:c>
    </x:row>
    <x:row r="8">
      <x:c r="A8" t="str">
        <x:v>C04</x:v>
      </x:c>
      <x:c r="B8" t="str">
        <x:v>tokenizer</x:v>
      </x:c>
      <x:c r="C8" t="str">
        <x:v>YES</x:v>
      </x:c>
      <x:c r="D8" t="str">
        <x:v>NO</x:v>
      </x:c>
      <x:c r="E8" t="str">
        <x:v>NO</x:v>
      </x:c>
      <x:c r="F8" t="str">
        <x:v>NO</x:v>
      </x:c>
      <x:c r="G8" t="str">
        <x:v>FAIL CLOSED</x:v>
      </x:c>
    </x:row>
    <x:row r="9">
      <x:c r="A9" t="str">
        <x:v>C05</x:v>
      </x:c>
      <x:c r="B9" t="str">
        <x:v>chat_template</x:v>
      </x:c>
      <x:c r="C9" t="str">
        <x:v>YES</x:v>
      </x:c>
      <x:c r="D9" t="str">
        <x:v>NO</x:v>
      </x:c>
      <x:c r="E9" t="str">
        <x:v>NO</x:v>
      </x:c>
      <x:c r="F9" t="str">
        <x:v>NO</x:v>
      </x:c>
      <x:c r="G9" t="str">
        <x:v>FAIL CLOSED</x:v>
      </x:c>
    </x:row>
    <x:row r="10">
      <x:c r="A10" t="str">
        <x:v>C06</x:v>
      </x:c>
      <x:c r="B10" t="str">
        <x:v>serving_container</x:v>
      </x:c>
      <x:c r="C10" t="str">
        <x:v>YES</x:v>
      </x:c>
      <x:c r="D10" t="str">
        <x:v>YES</x:v>
      </x:c>
      <x:c r="E10" t="str">
        <x:v>YES</x:v>
      </x:c>
      <x:c r="F10" t="str">
        <x:v>NO</x:v>
      </x:c>
      <x:c r="G10" t="str">
        <x:v>FAIL CLOSED</x:v>
      </x:c>
    </x:row>
    <x:row r="11">
      <x:c r="A11" t="str">
        <x:v>C07</x:v>
      </x:c>
      <x:c r="B11" t="str">
        <x:v>base_image</x:v>
      </x:c>
      <x:c r="C11" t="str">
        <x:v>YES</x:v>
      </x:c>
      <x:c r="D11" t="str">
        <x:v>YES</x:v>
      </x:c>
      <x:c r="E11" t="str">
        <x:v>YES</x:v>
      </x:c>
      <x:c r="F11" t="str">
        <x:v>NO</x:v>
      </x:c>
      <x:c r="G11" t="str">
        <x:v>FAIL CLOSED</x:v>
      </x:c>
    </x:row>
    <x:row r="12">
      <x:c r="A12" t="str">
        <x:v>C08</x:v>
      </x:c>
      <x:c r="B12" t="str">
        <x:v>runtime_lock</x:v>
      </x:c>
      <x:c r="C12" t="str">
        <x:v>YES</x:v>
      </x:c>
      <x:c r="D12" t="str">
        <x:v>NO</x:v>
      </x:c>
      <x:c r="E12" t="str">
        <x:v>YES</x:v>
      </x:c>
      <x:c r="F12" t="str">
        <x:v>NO</x:v>
      </x:c>
      <x:c r="G12" t="str">
        <x:v>FAIL CLOSED</x:v>
      </x:c>
    </x:row>
    <x:row r="13">
      <x:c r="A13" t="str">
        <x:v>C09</x:v>
      </x:c>
      <x:c r="B13" t="str">
        <x:v>startup_config</x:v>
      </x:c>
      <x:c r="C13" t="str">
        <x:v>YES</x:v>
      </x:c>
      <x:c r="D13" t="str">
        <x:v>YES</x:v>
      </x:c>
      <x:c r="E13" t="str">
        <x:v>NO</x:v>
      </x:c>
      <x:c r="F13" t="str">
        <x:v>NO</x:v>
      </x:c>
      <x:c r="G13" t="str">
        <x:v>FAIL CLOSED</x:v>
      </x:c>
    </x:row>
    <x:row r="14">
      <x:c r="A14" t="str">
        <x:v>C10</x:v>
      </x:c>
      <x:c r="B14" t="str">
        <x:v>policy_config</x:v>
      </x:c>
      <x:c r="C14" t="str">
        <x:v>YES</x:v>
      </x:c>
      <x:c r="D14" t="str">
        <x:v>YES</x:v>
      </x:c>
      <x:c r="E14" t="str">
        <x:v>NO</x:v>
      </x:c>
      <x:c r="F14" t="str">
        <x:v>NO</x:v>
      </x:c>
      <x:c r="G14" t="str">
        <x:v>FAIL CLOSED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</x:cols>
  <x:sheetData>
    <x:row r="1" ht="26" customHeight="1">
      <x:c r="A1" s="4" t="str">
        <x:v>DEPENDENCY CLOSURE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Security-relevant graph edges in the worked scenario.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Child</x:v>
      </x:c>
      <x:c r="B4" s="18" t="str">
        <x:v>Parent</x:v>
      </x:c>
      <x:c r="C4" s="18" t="str">
        <x:v>Edge type</x:v>
      </x:c>
    </x:row>
    <x:row r="5">
      <x:c r="A5" t="str">
        <x:v>C01</x:v>
      </x:c>
      <x:c r="B5" t="str">
        <x:v>production</x:v>
      </x:c>
      <x:c r="C5" t="str">
        <x:v>depends-on / loaded-by</x:v>
      </x:c>
    </x:row>
    <x:row r="6">
      <x:c r="A6" t="str">
        <x:v>C02</x:v>
      </x:c>
      <x:c r="B6" t="str">
        <x:v>C01</x:v>
      </x:c>
      <x:c r="C6" t="str">
        <x:v>depends-on / loaded-by</x:v>
      </x:c>
    </x:row>
    <x:row r="7">
      <x:c r="A7" t="str">
        <x:v>C03</x:v>
      </x:c>
      <x:c r="B7" t="str">
        <x:v>C01</x:v>
      </x:c>
      <x:c r="C7" t="str">
        <x:v>depends-on / loaded-by</x:v>
      </x:c>
    </x:row>
    <x:row r="8">
      <x:c r="A8" t="str">
        <x:v>C04</x:v>
      </x:c>
      <x:c r="B8" t="str">
        <x:v>C01</x:v>
      </x:c>
      <x:c r="C8" t="str">
        <x:v>depends-on / loaded-by</x:v>
      </x:c>
    </x:row>
    <x:row r="9">
      <x:c r="A9" t="str">
        <x:v>C05</x:v>
      </x:c>
      <x:c r="B9" t="str">
        <x:v>C01</x:v>
      </x:c>
      <x:c r="C9" t="str">
        <x:v>depends-on / loaded-by</x:v>
      </x:c>
    </x:row>
    <x:row r="10">
      <x:c r="A10" t="str">
        <x:v>C06</x:v>
      </x:c>
      <x:c r="B10" t="str">
        <x:v>production</x:v>
      </x:c>
      <x:c r="C10" t="str">
        <x:v>depends-on / loaded-by</x:v>
      </x:c>
    </x:row>
    <x:row r="11">
      <x:c r="A11" t="str">
        <x:v>C07</x:v>
      </x:c>
      <x:c r="B11" t="str">
        <x:v>C06</x:v>
      </x:c>
      <x:c r="C11" t="str">
        <x:v>depends-on / loaded-by</x:v>
      </x:c>
    </x:row>
    <x:row r="12">
      <x:c r="A12" t="str">
        <x:v>C08</x:v>
      </x:c>
      <x:c r="B12" t="str">
        <x:v>C06</x:v>
      </x:c>
      <x:c r="C12" t="str">
        <x:v>depends-on / loaded-by</x:v>
      </x:c>
    </x:row>
    <x:row r="13">
      <x:c r="A13" t="str">
        <x:v>C09</x:v>
      </x:c>
      <x:c r="B13" t="str">
        <x:v>production</x:v>
      </x:c>
      <x:c r="C13" t="str">
        <x:v>depends-on / loaded-by</x:v>
      </x:c>
    </x:row>
    <x:row r="14">
      <x:c r="A14" t="str">
        <x:v>C10</x:v>
      </x:c>
      <x:c r="B14" t="str">
        <x:v>production</x:v>
      </x:c>
      <x:c r="C14" t="str">
        <x:v>depends-on / loaded-by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58" hidden="0" customWidth="1"/>
  </x:cols>
  <x:sheetData>
    <x:row r="1" ht="26" customHeight="1">
      <x:c r="A1" s="4" t="str">
        <x:v>APPROVED VS OBSERVED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Strict role-aware classification. Unexpected/changed/missing block; unknown is insufficient verification.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Role</x:v>
      </x:c>
      <x:c r="C4" s="18" t="str">
        <x:v>State</x:v>
      </x:c>
      <x:c r="D4" s="18" t="str">
        <x:v>Reason</x:v>
      </x:c>
    </x:row>
    <x:row r="5">
      <x:c r="A5" s="26" t="str">
        <x:v>C01</x:v>
      </x:c>
      <x:c r="B5" s="26" t="str">
        <x:v>model_snapshot</x:v>
      </x:c>
      <x:c r="C5" s="26" t="str">
        <x:v>MATCH</x:v>
      </x:c>
      <x:c r="D5" s="26" t="str">
        <x:v>Required checks passed for scenario.</x:v>
      </x:c>
    </x:row>
    <x:row r="6">
      <x:c r="A6" s="26" t="str">
        <x:v>C02</x:v>
      </x:c>
      <x:c r="B6" s="26" t="str">
        <x:v>weights_bundle</x:v>
      </x:c>
      <x:c r="C6" s="26" t="str">
        <x:v>MATCH</x:v>
      </x:c>
      <x:c r="D6" s="26" t="str">
        <x:v>Required checks passed for scenario.</x:v>
      </x:c>
    </x:row>
    <x:row r="7">
      <x:c r="A7" s="26" t="str">
        <x:v>C03</x:v>
      </x:c>
      <x:c r="B7" s="26" t="str">
        <x:v>config</x:v>
      </x:c>
      <x:c r="C7" s="26" t="str">
        <x:v>MATCH</x:v>
      </x:c>
      <x:c r="D7" s="26" t="str">
        <x:v>Required checks passed for scenario.</x:v>
      </x:c>
    </x:row>
    <x:row r="8">
      <x:c r="A8" s="26" t="str">
        <x:v>C04</x:v>
      </x:c>
      <x:c r="B8" s="26" t="str">
        <x:v>tokenizer</x:v>
      </x:c>
      <x:c r="C8" s="26" t="str">
        <x:v>CHANGED</x:v>
      </x:c>
      <x:c r="D8" s="26" t="str">
        <x:v>Observed immutable identity differs from approved identity.</x:v>
      </x:c>
    </x:row>
    <x:row r="9">
      <x:c r="A9" s="26" t="str">
        <x:v>C05</x:v>
      </x:c>
      <x:c r="B9" s="26" t="str">
        <x:v>chat_template</x:v>
      </x:c>
      <x:c r="C9" s="26" t="str">
        <x:v>MATCH</x:v>
      </x:c>
      <x:c r="D9" s="26" t="str">
        <x:v>Required checks passed for scenario.</x:v>
      </x:c>
    </x:row>
    <x:row r="10">
      <x:c r="A10" s="26" t="str">
        <x:v>C06</x:v>
      </x:c>
      <x:c r="B10" s="26" t="str">
        <x:v>serving_container</x:v>
      </x:c>
      <x:c r="C10" s="26" t="str">
        <x:v>MATCH</x:v>
      </x:c>
      <x:c r="D10" s="26" t="str">
        <x:v>Required checks passed for scenario.</x:v>
      </x:c>
    </x:row>
    <x:row r="11">
      <x:c r="A11" s="26" t="str">
        <x:v>C07</x:v>
      </x:c>
      <x:c r="B11" s="26" t="str">
        <x:v>base_image</x:v>
      </x:c>
      <x:c r="C11" s="26" t="str">
        <x:v>MATCH</x:v>
      </x:c>
      <x:c r="D11" s="26" t="str">
        <x:v>Required checks passed for scenario.</x:v>
      </x:c>
    </x:row>
    <x:row r="12">
      <x:c r="A12" s="26" t="str">
        <x:v>C08</x:v>
      </x:c>
      <x:c r="B12" s="26" t="str">
        <x:v>runtime_lock</x:v>
      </x:c>
      <x:c r="C12" s="26" t="str">
        <x:v>MATCH</x:v>
      </x:c>
      <x:c r="D12" s="26" t="str">
        <x:v>Required checks passed for scenario.</x:v>
      </x:c>
    </x:row>
    <x:row r="13">
      <x:c r="A13" s="26" t="str">
        <x:v>C09</x:v>
      </x:c>
      <x:c r="B13" s="26" t="str">
        <x:v>startup_config</x:v>
      </x:c>
      <x:c r="C13" s="26" t="str">
        <x:v>MATCH</x:v>
      </x:c>
      <x:c r="D13" s="26" t="str">
        <x:v>Required checks passed for scenario.</x:v>
      </x:c>
    </x:row>
    <x:row r="14">
      <x:c r="A14" s="26" t="str">
        <x:v>C10</x:v>
      </x:c>
      <x:c r="B14" s="26" t="str">
        <x:v>policy_config</x:v>
      </x:c>
      <x:c r="C14" s="26" t="str">
        <x:v>MATCH</x:v>
      </x:c>
      <x:c r="D14" s="26" t="str">
        <x:v>Required checks passed for scenario.</x:v>
      </x:c>
    </x:row>
    <x:row r="15">
      <x:c r="A15" s="26" t="str">
        <x:v>U01</x:v>
      </x:c>
      <x:c r="B15" s="26" t="str">
        <x:v>adapter</x:v>
      </x:c>
      <x:c r="C15" s="26" t="str">
        <x:v>UNEXPECTED</x:v>
      </x:c>
      <x:c r="D15" s="26" t="str">
        <x:v>Observed security-relevant component is absent from approved manifest.</x:v>
      </x:c>
    </x:row>
    <x:row r="16">
      <x:c r="A16" s="26"/>
      <x:c r="B16" s="26"/>
      <x:c r="C16" s="26"/>
      <x:c r="D16" s="26"/>
    </x:row>
    <x:row r="17" ht="30" customHeight="1">
      <x:c r="A17" s="18" t="str">
        <x:v>Metric</x:v>
      </x:c>
      <x:c r="B17" s="18" t="str">
        <x:v>Value</x:v>
      </x:c>
      <x:c r="C17" s="26"/>
      <x:c r="D17" s="26"/>
    </x:row>
    <x:row r="18">
      <x:c r="A18" s="26" t="str">
        <x:v>MATCH</x:v>
      </x:c>
      <x:c r="B18" s="26" t="n">
        <x:v>9</x:v>
      </x:c>
      <x:c r="C18" s="26"/>
      <x:c r="D18" s="26"/>
    </x:row>
    <x:row r="19">
      <x:c r="A19" s="26" t="str">
        <x:v>CHANGED</x:v>
      </x:c>
      <x:c r="B19" s="26" t="n">
        <x:v>1</x:v>
      </x:c>
      <x:c r="C19" s="26"/>
      <x:c r="D19" s="26"/>
    </x:row>
    <x:row r="20">
      <x:c r="A20" s="26" t="str">
        <x:v>UNEXPECTED</x:v>
      </x:c>
      <x:c r="B20" s="26" t="n">
        <x:v>1</x:v>
      </x:c>
      <x:c r="C20" s="26"/>
      <x:c r="D20" s="26"/>
    </x:row>
    <x:row r="21">
      <x:c r="A21" s="26" t="str">
        <x:v>MISSING</x:v>
      </x:c>
      <x:c r="B21" s="26" t="n">
        <x:v>0</x:v>
      </x:c>
      <x:c r="C21" s="26"/>
      <x:c r="D21" s="26"/>
    </x:row>
    <x:row r="22">
      <x:c r="A22" s="26" t="str">
        <x:v>UNKNOWN</x:v>
      </x:c>
      <x:c r="B22" s="26" t="n">
        <x:v>0</x:v>
      </x:c>
      <x:c r="C22" s="26"/>
      <x:c r="D22" s="26"/>
    </x:row>
    <x:row r="23">
      <x:c r="A23" s="26" t="str">
        <x:v>STRICT GATE</x:v>
      </x:c>
      <x:c r="B23" s="26" t="str">
        <x:f>IF(OR(B19&gt;0,B20&gt;0,B21&gt;0),"BLOCKED — MISMATCH",IF(B22&gt;0,"INSUFFICIENT VERIFICATION","VERIFIED AGAINST DEFINED POLICY"))</x:f>
        <x:v>BLOCKED — MISMATCH</x:v>
      </x:c>
      <x:c r="C23" s="26"/>
      <x:c r="D23" s="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7" max="7" width="22" hidden="0" customWidth="1"/>
    <x:col min="8" max="8" width="34" hidden="0" customWidth="1"/>
  </x:cols>
  <x:sheetData>
    <x:row r="1" ht="26" customHeight="1">
      <x:c r="A1" s="4" t="str">
        <x:v>VERIFICATION COVERAGE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Coverage is component-verification completeness, not compromise probability.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Scenario</x:v>
      </x:c>
      <x:c r="B4" s="18" t="str">
        <x:v>Required components</x:v>
      </x:c>
      <x:c r="C4" s="18" t="str">
        <x:v>Verified</x:v>
      </x:c>
      <x:c r="D4" s="18" t="str">
        <x:v>Unknown/failed</x:v>
      </x:c>
      <x:c r="E4" s="18" t="str">
        <x:v>Coverage</x:v>
      </x:c>
      <x:c r="G4" s="18" t="str">
        <x:v>Strict gate test</x:v>
      </x:c>
      <x:c r="H4" s="18" t="str">
        <x:v>Result</x:v>
      </x:c>
    </x:row>
    <x:row r="5">
      <x:c r="A5" t="str">
        <x:v>Primary scenario</x:v>
      </x:c>
      <x:c r="B5" t="n">
        <x:v>10</x:v>
      </x:c>
      <x:c r="C5" t="n">
        <x:v>9</x:v>
      </x:c>
      <x:c r="D5" t="n">
        <x:v>1</x:v>
      </x:c>
      <x:c r="E5" s="24" t="n">
        <x:f>C5/B5</x:f>
        <x:v>0.9</x:v>
      </x:c>
      <x:c r="G5" t="str">
        <x:v>Primary scenario</x:v>
      </x:c>
      <x:c r="H5" t="str">
        <x:v>BLOCKED — MISMATCH</x:v>
      </x:c>
    </x:row>
    <x:row r="6">
      <x:c r="A6" t="str">
        <x:v>Unknown test</x:v>
      </x:c>
      <x:c r="B6" t="n">
        <x:v>10</x:v>
      </x:c>
      <x:c r="C6" t="n">
        <x:v>9</x:v>
      </x:c>
      <x:c r="D6" t="n">
        <x:v>1</x:v>
      </x:c>
      <x:c r="E6" s="24" t="n">
        <x:f>C6/B6</x:f>
        <x:v>0.9</x:v>
      </x:c>
      <x:c r="G6" t="str">
        <x:v>Unknown test</x:v>
      </x:c>
      <x:c r="H6" t="str">
        <x:v>INSUFFICIENT VERIFICATION</x:v>
      </x:c>
    </x:row>
    <x:row r="7">
      <x:c r="A7" t="str">
        <x:v>Remediated test</x:v>
      </x:c>
      <x:c r="B7" t="n">
        <x:v>10</x:v>
      </x:c>
      <x:c r="C7" t="n">
        <x:v>10</x:v>
      </x:c>
      <x:c r="D7" t="n">
        <x:v>0</x:v>
      </x:c>
      <x:c r="E7" s="24" t="n">
        <x:f>C7/B7</x:f>
        <x:v>1</x:v>
      </x:c>
      <x:c r="G7" t="str">
        <x:v>Remediated test</x:v>
      </x:c>
      <x:c r="H7" t="str">
        <x:v>VERIFIED AGAINST DEFINED POLICY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58" hidden="0" customWidth="1"/>
    <x:col min="5" max="5" width="20" hidden="0" customWidth="1"/>
    <x:col min="6" max="6" width="26" hidden="0" customWidth="1"/>
    <x:col min="7" max="7" width="56" hidden="0" customWidth="1"/>
  </x:cols>
  <x:sheetData>
    <x:row r="1" ht="26" customHeight="1">
      <x:c r="A1" s="4" t="str">
        <x:v>SOURCE EVIDENCE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Current primary source ledger as of 2026-08-10. URLs are provided directly for auditability.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ID</x:v>
      </x:c>
      <x:c r="B4" s="18" t="str">
        <x:v>Organization</x:v>
      </x:c>
      <x:c r="C4" s="18" t="str">
        <x:v>Document</x:v>
      </x:c>
      <x:c r="D4" s="18" t="str">
        <x:v>URL</x:v>
      </x:c>
      <x:c r="E4" s="18" t="str">
        <x:v>Type</x:v>
      </x:c>
      <x:c r="F4" s="18" t="str">
        <x:v>Version/effective</x:v>
      </x:c>
      <x:c r="G4" s="18" t="str">
        <x:v>Claim supported</x:v>
      </x:c>
    </x:row>
    <x:row r="5">
      <x:c r="A5" s="26" t="str">
        <x:v>S01</x:v>
      </x:c>
      <x:c r="B5" s="26" t="str">
        <x:v>SLSA</x:v>
      </x:c>
      <x:c r="C5" s="26" t="str">
        <x:v>SLSA specification v1.2</x:v>
      </x:c>
      <x:c r="D5" s="26" t="str">
        <x:v>https://slsa.dev/spec/v1.2/</x:v>
      </x:c>
      <x:c r="E5" s="26" t="str">
        <x:v>Primary standard</x:v>
      </x:c>
      <x:c r="F5" s="26" t="str">
        <x:v>v1.2 / Approved</x:v>
      </x:c>
      <x:c r="G5" s="26" t="str">
        <x:v>Current SLSA version and scope.</x:v>
      </x:c>
    </x:row>
    <x:row r="6">
      <x:c r="A6" s="26" t="str">
        <x:v>S02</x:v>
      </x:c>
      <x:c r="B6" s="26" t="str">
        <x:v>SLSA</x:v>
      </x:c>
      <x:c r="C6" s="26" t="str">
        <x:v>Build: Verifying artifacts</x:v>
      </x:c>
      <x:c r="D6" s="26" t="str">
        <x:v>https://slsa.dev/spec/v1.2/verifying-artifacts</x:v>
      </x:c>
      <x:c r="E6" s="26" t="str">
        <x:v>Primary standard</x:v>
      </x:c>
      <x:c r="F6" s="26" t="str">
        <x:v>v1.2 / Approved</x:v>
      </x:c>
      <x:c r="G6" s="26" t="str">
        <x:v>Verification checks builder identity, provenance signature, artifact subject digest, source/buildType/externalParameters expectations; recursive dependency checks are optional/best-effort.</x:v>
      </x:c>
    </x:row>
    <x:row r="7">
      <x:c r="A7" s="26" t="str">
        <x:v>S03</x:v>
      </x:c>
      <x:c r="B7" s="26" t="str">
        <x:v>SLSA</x:v>
      </x:c>
      <x:c r="C7" s="26" t="str">
        <x:v>Provenance</x:v>
      </x:c>
      <x:c r="D7" s="26" t="str">
        <x:v>https://slsa.dev/spec/v1.2/provenance</x:v>
      </x:c>
      <x:c r="E7" s="26" t="str">
        <x:v>Primary standard</x:v>
      </x:c>
      <x:c r="F7" s="26" t="str">
        <x:v>v1.2 / Approved</x:v>
      </x:c>
      <x:c r="G7" s="26" t="str">
        <x:v>Provenance is verifiable information about where, when and how an artifact was produced.</x:v>
      </x:c>
    </x:row>
    <x:row r="8">
      <x:c r="A8" s="26" t="str">
        <x:v>S04</x:v>
      </x:c>
      <x:c r="B8" s="26" t="str">
        <x:v>OCI</x:v>
      </x:c>
      <x:c r="C8" s="26" t="str">
        <x:v>OCI Image Manifest Specification</x:v>
      </x:c>
      <x:c r="D8" s="26" t="str">
        <x:v>https://specs.opencontainers.org/image-spec/manifest/</x:v>
      </x:c>
      <x:c r="E8" s="26" t="str">
        <x:v>Primary standard</x:v>
      </x:c>
      <x:c r="F8" s="26" t="str">
        <x:v>image-spec v1.1.1 current release family</x:v>
      </x:c>
      <x:c r="G8" s="26" t="str">
        <x:v>OCI image manifests describe content-addressable images and reference config/layers with descriptors.</x:v>
      </x:c>
    </x:row>
    <x:row r="9">
      <x:c r="A9" s="26" t="str">
        <x:v>S05</x:v>
      </x:c>
      <x:c r="B9" s="26" t="str">
        <x:v>OCI</x:v>
      </x:c>
      <x:c r="C9" s="26" t="str">
        <x:v>OCI Content Descriptors</x:v>
      </x:c>
      <x:c r="D9" s="26" t="str">
        <x:v>https://specs.opencontainers.org/image-spec/descriptor/</x:v>
      </x:c>
      <x:c r="E9" s="26" t="str">
        <x:v>Primary standard</x:v>
      </x:c>
      <x:c r="F9" s="26" t="str">
        <x:v>image-spec v1.1.1 current release family</x:v>
      </x:c>
      <x:c r="G9" s="26" t="str">
        <x:v>OCI components form a Merkle DAG; descriptors carry digests and other identity metadata.</x:v>
      </x:c>
    </x:row>
    <x:row r="10">
      <x:c r="A10" s="26" t="str">
        <x:v>S06</x:v>
      </x:c>
      <x:c r="B10" s="26" t="str">
        <x:v>OCI</x:v>
      </x:c>
      <x:c r="C10" s="26" t="str">
        <x:v>image-spec releases</x:v>
      </x:c>
      <x:c r="D10" s="26" t="str">
        <x:v>https://github.com/opencontainers/image-spec/releases</x:v>
      </x:c>
      <x:c r="E10" s="26" t="str">
        <x:v>Primary repository</x:v>
      </x:c>
      <x:c r="F10" s="26" t="str">
        <x:v>v1.1.1 latest release observed</x:v>
      </x:c>
      <x:c r="G10" s="26" t="str">
        <x:v>Current release used for version freeze.</x:v>
      </x:c>
    </x:row>
    <x:row r="11">
      <x:c r="A11" s="26" t="str">
        <x:v>S07</x:v>
      </x:c>
      <x:c r="B11" s="26" t="str">
        <x:v>Sigstore</x:v>
      </x:c>
      <x:c r="C11" s="26" t="str">
        <x:v>Cosign: Verifying Signatures</x:v>
      </x:c>
      <x:c r="D11" s="26" t="str">
        <x:v>https://docs.sigstore.dev/cosign/verifying/verify/</x:v>
      </x:c>
      <x:c r="E11" s="26" t="str">
        <x:v>Primary documentation</x:v>
      </x:c>
      <x:c r="F11" s="26" t="str">
        <x:v>Current docs</x:v>
      </x:c>
      <x:c r="G11" s="26" t="str">
        <x:v>Verification can assert certificate identity/issuer, signature evidence, transparency-log evidence, and attestations.</x:v>
      </x:c>
    </x:row>
    <x:row r="12">
      <x:c r="A12" s="26" t="str">
        <x:v>S08</x:v>
      </x:c>
      <x:c r="B12" s="26" t="str">
        <x:v>Hugging Face</x:v>
      </x:c>
      <x:c r="C12" s="26" t="str">
        <x:v>Download files from the Hub</x:v>
      </x:c>
      <x:c r="D12" s="26" t="str">
        <x:v>https://huggingface.co/docs/huggingface_hub/en/guides/download</x:v>
      </x:c>
      <x:c r="E12" s="26" t="str">
        <x:v>Primary documentation</x:v>
      </x:c>
      <x:c r="F12" s="26" t="str">
        <x:v>Current docs</x:v>
      </x:c>
      <x:c r="G12" s="26" t="str">
        <x:v>Downloads default to main; revision may be branch/tag/PR/commit hash; full commit hash can identify a snapshot.</x:v>
      </x:c>
    </x:row>
    <x:row r="13">
      <x:c r="A13" s="26" t="str">
        <x:v>S09</x:v>
      </x:c>
      <x:c r="B13" s="26" t="str">
        <x:v>Hugging Face</x:v>
      </x:c>
      <x:c r="C13" s="26" t="str">
        <x:v>Transformers: Loading models</x:v>
      </x:c>
      <x:c r="D13" s="26" t="str">
        <x:v>https://huggingface.co/docs/transformers/en/models</x:v>
      </x:c>
      <x:c r="E13" s="26" t="str">
        <x:v>Primary documentation</x:v>
      </x:c>
      <x:c r="F13" s="26" t="str">
        <x:v>Current docs</x:v>
      </x:c>
      <x:c r="G13" s="26" t="str">
        <x:v>Custom code requires trust_remote_code=True; pinning a specific revision is recommended to avoid code changes.</x:v>
      </x:c>
    </x:row>
    <x:row r="14">
      <x:c r="A14" s="26" t="str">
        <x:v>S10</x:v>
      </x:c>
      <x:c r="B14" s="26" t="str">
        <x:v>Hugging Face</x:v>
      </x:c>
      <x:c r="C14" s="26" t="str">
        <x:v>Safetensors</x:v>
      </x:c>
      <x:c r="D14" s="26" t="str">
        <x:v>https://huggingface.co/docs/safetensors/en/index</x:v>
      </x:c>
      <x:c r="E14" s="26" t="str">
        <x:v>Primary documentation</x:v>
      </x:c>
      <x:c r="F14" s="26" t="str">
        <x:v>Current docs</x:v>
      </x:c>
      <x:c r="G14" s="26" t="str">
        <x:v>Safetensors is a tensor format designed to be safe compared with pickle.</x:v>
      </x:c>
    </x:row>
    <x:row r="15">
      <x:c r="A15" s="26" t="str">
        <x:v>S11</x:v>
      </x:c>
      <x:c r="B15" s="26" t="str">
        <x:v>Hugging Face</x:v>
      </x:c>
      <x:c r="C15" s="26" t="str">
        <x:v>Hub Security</x:v>
      </x:c>
      <x:c r="D15" s="26" t="str">
        <x:v>https://huggingface.co/docs/hub/security</x:v>
      </x:c>
      <x:c r="E15" s="26" t="str">
        <x:v>Primary documentation</x:v>
      </x:c>
      <x:c r="F15" s="26" t="str">
        <x:v>Current docs</x:v>
      </x:c>
      <x:c r="G15" s="26" t="str">
        <x:v>Hub security features include malware, pickle and secrets scanning, among others.</x:v>
      </x:c>
    </x:row>
    <x:row r="16">
      <x:c r="A16" s="26" t="str">
        <x:v>S12</x:v>
      </x:c>
      <x:c r="B16" s="26" t="str">
        <x:v>Hugging Face</x:v>
      </x:c>
      <x:c r="C16" s="26" t="str">
        <x:v>Pickle scanning</x:v>
      </x:c>
      <x:c r="D16" s="26" t="str">
        <x:v>https://huggingface.co/docs/hub/security-pickle</x:v>
      </x:c>
      <x:c r="E16" s="26" t="str">
        <x:v>Primary documentation</x:v>
      </x:c>
      <x:c r="F16" s="26" t="str">
        <x:v>Current docs</x:v>
      </x:c>
      <x:c r="G16" s="26" t="str">
        <x:v>Pickle deserialization can execute code; scanners are useful but not complete guarantees.</x:v>
      </x:c>
    </x:row>
  </x:sheetData>
  <x:mergeCells>
    <x:mergeCell ref="A1:H1"/>
    <x:mergeCell ref="A2:H2"/>
  </x:mergeCells>
  <x:pageMargins left="0.7" right="0.7" top="0.75" bottom="0.75" header="0.3" footer="0.3"/>
</x:worksheet>
</file>