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8151657fa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3b04096429457f"/>
    <x:sheet xmlns:r="http://schemas.openxmlformats.org/officeDocument/2006/relationships" name="METHOD" sheetId="2" r:id="Rd095921304314913"/>
    <x:sheet xmlns:r="http://schemas.openxmlformats.org/officeDocument/2006/relationships" name="WORKLOAD" sheetId="3" r:id="R147d848874ea4e50"/>
    <x:sheet xmlns:r="http://schemas.openxmlformats.org/officeDocument/2006/relationships" name="ACCEPTANCE" sheetId="4" r:id="R64860857b3d84292"/>
    <x:sheet xmlns:r="http://schemas.openxmlformats.org/officeDocument/2006/relationships" name="DRAFT" sheetId="5" r:id="R627db6789a684a55"/>
    <x:sheet xmlns:r="http://schemas.openxmlformats.org/officeDocument/2006/relationships" name="VERIFY" sheetId="6" r:id="R5669bde1773c49fb"/>
    <x:sheet xmlns:r="http://schemas.openxmlformats.org/officeDocument/2006/relationships" name="CYCLE" sheetId="7" r:id="R768c96deca914588"/>
    <x:sheet xmlns:r="http://schemas.openxmlformats.org/officeDocument/2006/relationships" name="BREAK_EVEN" sheetId="8" r:id="Rb064aa43318143dd"/>
    <x:sheet xmlns:r="http://schemas.openxmlformats.org/officeDocument/2006/relationships" name="SLO" sheetId="9" r:id="Ref87b399837c4260"/>
    <x:sheet xmlns:r="http://schemas.openxmlformats.org/officeDocument/2006/relationships" name="ECONOMICS" sheetId="10" r:id="R47d4dc56e7454cc7"/>
    <x:sheet xmlns:r="http://schemas.openxmlformats.org/officeDocument/2006/relationships" name="SENSITIVITY" sheetId="11" r:id="R7d217a3e167f4435"/>
    <x:sheet xmlns:r="http://schemas.openxmlformats.org/officeDocument/2006/relationships" name="SOURCES" sheetId="12" r:id="R5ca9ae01fb15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10F"/>
      <x:name val="Carlito"/>
    </x:font>
    <x:font>
      <x:b/>
      <x:sz val="11"/>
      <x:color rgb="FFFFFFFF"/>
      <x:name val="Carlito"/>
    </x:font>
    <x:font>
      <x:b/>
      <x:sz val="11"/>
      <x:color rgb="FF11110F"/>
      <x:name val="Carlito"/>
    </x:font>
    <x:font>
      <x:sz val="11"/>
      <x:color rgb="FF11110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FFF4D6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3" fillId="2" borderId="0" xfId="0" applyNumberFormat="1" applyFont="1" applyFill="1" applyBorder="1" applyAlignment="1">
      <x:alignment vertical="center"/>
    </x:xf>
    <x:xf numFmtId="201" fontId="3" fillId="2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be88603564a7f" /><Relationship Type="http://schemas.openxmlformats.org/officeDocument/2006/relationships/theme" Target="/xl/theme/theme1.xml" Id="Rfe1adf65ff2a41fc" /><Relationship Type="http://schemas.openxmlformats.org/officeDocument/2006/relationships/sharedStrings" Target="/xl/sharedStrings.xml" Id="Re9afe90b380b4f33" /><Relationship Type="http://schemas.openxmlformats.org/officeDocument/2006/relationships/worksheet" Target="/xl/worksheets/sheet1.xml" Id="Rdd3b04096429457f" /><Relationship Type="http://schemas.openxmlformats.org/officeDocument/2006/relationships/worksheet" Target="/xl/worksheets/sheet2.xml" Id="Rd095921304314913" /><Relationship Type="http://schemas.openxmlformats.org/officeDocument/2006/relationships/worksheet" Target="/xl/worksheets/sheet3.xml" Id="R147d848874ea4e50" /><Relationship Type="http://schemas.openxmlformats.org/officeDocument/2006/relationships/worksheet" Target="/xl/worksheets/sheet4.xml" Id="R64860857b3d84292" /><Relationship Type="http://schemas.openxmlformats.org/officeDocument/2006/relationships/worksheet" Target="/xl/worksheets/sheet5.xml" Id="R627db6789a684a55" /><Relationship Type="http://schemas.openxmlformats.org/officeDocument/2006/relationships/worksheet" Target="/xl/worksheets/sheet6.xml" Id="R5669bde1773c49fb" /><Relationship Type="http://schemas.openxmlformats.org/officeDocument/2006/relationships/worksheet" Target="/xl/worksheets/sheet7.xml" Id="R768c96deca914588" /><Relationship Type="http://schemas.openxmlformats.org/officeDocument/2006/relationships/worksheet" Target="/xl/worksheets/sheet8.xml" Id="Rb064aa43318143dd" /><Relationship Type="http://schemas.openxmlformats.org/officeDocument/2006/relationships/worksheet" Target="/xl/worksheets/sheet9.xml" Id="Ref87b399837c4260" /><Relationship Type="http://schemas.openxmlformats.org/officeDocument/2006/relationships/worksheet" Target="/xl/worksheets/sheet10.xml" Id="R47d4dc56e7454cc7" /><Relationship Type="http://schemas.openxmlformats.org/officeDocument/2006/relationships/worksheet" Target="/xl/worksheets/sheet11.xml" Id="R7d217a3e167f4435" /><Relationship Type="http://schemas.openxmlformats.org/officeDocument/2006/relationships/worksheet" Target="/xl/worksheets/sheet12.xml" Id="R5ca9ae01fb15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0" hidden="0" customWidth="1"/>
  </x:cols>
  <x:sheetData>
    <x:row r="1">
      <x:c r="A1" s="24" t="str">
        <x:v>SECOND / PASS — Speculative Decoding Break-Even Model</x:v>
      </x:c>
      <x:c r="B1" s="25"/>
    </x:row>
    <x:row r="2">
      <x:c r="A2" s="25"/>
      <x:c r="B2" s="25"/>
    </x:row>
    <x:row r="3">
      <x:c r="A3" s="8" t="str">
        <x:v>Formula-driven deployment screen for speculative decoding. It separates acceptance semantics, proposer cost, target verification cost, other runtime overhead, load/SLO results, and economics. The default values are transparent SCENARIO inputs, not public benchmark measurements.</x:v>
      </x:c>
      <x:c r="B3" s="25"/>
    </x:row>
    <x:row r="4">
      <x:c r="A4" s="25"/>
      <x:c r="B4" s="25"/>
    </x:row>
    <x:row r="5">
      <x:c r="A5" s="25"/>
      <x:c r="B5" s="25"/>
    </x:row>
    <x:row r="6">
      <x:c r="A6" s="25"/>
      <x:c r="B6" s="25"/>
    </x:row>
    <x:row r="7">
      <x:c r="A7" s="26" t="str">
        <x:v>Sheet</x:v>
      </x:c>
      <x:c r="B7" s="26" t="str">
        <x:v>Purpose</x:v>
      </x:c>
    </x:row>
    <x:row r="8">
      <x:c r="A8" s="25" t="str">
        <x:v>METHOD</x:v>
      </x:c>
      <x:c r="B8" s="25" t="str">
        <x:v>Selected method support/semantics plus current runtime method reference</x:v>
      </x:c>
    </x:row>
    <x:row r="9">
      <x:c r="A9" s="25" t="str">
        <x:v>WORKLOAD</x:v>
      </x:c>
      <x:c r="B9" s="25" t="str">
        <x:v>Hardware, load, baseline token time, k, SLO, scenario outcome and cost inputs</x:v>
      </x:c>
    </x:row>
    <x:row r="10">
      <x:c r="A10" s="25" t="str">
        <x:v>ACCEPTANCE</x:v>
      </x:c>
      <x:c r="B10" s="25" t="str">
        <x:v>Constant-alpha or depth-specific acceptance model; E[A], E[Y], rejected draft share</x:v>
      </x:c>
    </x:row>
    <x:row r="11">
      <x:c r="A11" s="25" t="str">
        <x:v>DRAFT</x:v>
      </x:c>
      <x:c r="B11" s="25" t="str">
        <x:v>Measured/scenario proposer time T_d(k) and other overhead T_o(k) by depth</x:v>
      </x:c>
    </x:row>
    <x:row r="12">
      <x:c r="A12" s="25" t="str">
        <x:v>VERIFY</x:v>
      </x:c>
      <x:c r="B12" s="25" t="str">
        <x:v>Measured/scenario target verification time T_v(k) by depth</x:v>
      </x:c>
    </x:row>
    <x:row r="13">
      <x:c r="A13" s="25" t="str">
        <x:v>CYCLE</x:v>
      </x:c>
      <x:c r="B13" s="25" t="str">
        <x:v>Cycle time, normalized cycle cost, effective token time, speedup and k* sweep</x:v>
      </x:c>
    </x:row>
    <x:row r="14">
      <x:c r="A14" s="25" t="str">
        <x:v>BREAK_EVEN</x:v>
      </x:c>
      <x:c r="B14" s="25" t="str">
        <x:v>Formula-driven bisection for minimum alpha* at selected k and c_k</x:v>
      </x:c>
    </x:row>
    <x:row r="15">
      <x:c r="A15" s="25" t="str">
        <x:v>SLO</x:v>
      </x:c>
      <x:c r="B15" s="25" t="str">
        <x:v>Same-hardware/SLO baseline vs speculative goodput</x:v>
      </x:c>
    </x:row>
    <x:row r="16">
      <x:c r="A16" s="25" t="str">
        <x:v>ECONOMICS</x:v>
      </x:c>
      <x:c r="B16" s="25" t="str">
        <x:v>Cost/hour, cost/SLO request, cost/SLO output token and recommendation</x:v>
      </x:c>
    </x:row>
    <x:row r="17">
      <x:c r="A17" s="25" t="str">
        <x:v>SENSITIVITY</x:v>
      </x:c>
      <x:c r="B17" s="25" t="str">
        <x:v>Acceptance × cycle-cost boundaries and low/high-load scenario comparison</x:v>
      </x:c>
    </x:row>
    <x:row r="18">
      <x:c r="A18" s="25" t="str">
        <x:v>SOURCES</x:v>
      </x:c>
      <x:c r="B18" s="25" t="str">
        <x:v>Current official/runtime and original-paper sources</x:v>
      </x:c>
    </x:row>
    <x:row r="19">
      <x:c r="A19" s="25"/>
      <x:c r="B19" s="25"/>
    </x:row>
    <x:row r="20">
      <x:c r="A20" s="25"/>
      <x:c r="B20" s="25"/>
    </x:row>
    <x:row r="21">
      <x:c r="A21" s="27" t="str">
        <x:v>MANDATORY</x:v>
      </x:c>
      <x:c r="B21" s="21" t="str">
        <x:v>Acceptance semantics must match the selected formula. E[Y]=1+E[A] is only used when compatible bonus/correction-token emission semantics apply.</x:v>
      </x:c>
    </x:row>
    <x:row r="22">
      <x:c r="A22" s="27" t="str">
        <x:v>MANDATORY</x:v>
      </x:c>
      <x:c r="B22" s="21" t="str">
        <x:v>T_d(k), T_v(k), and T_o(k) should be measured by depth. Do not assume one target-token verification cost or linear draft cost in production.</x:v>
      </x:c>
    </x:row>
    <x:row r="23">
      <x:c r="A23" s="27" t="str">
        <x:v>MANDATORY</x:v>
      </x:c>
      <x:c r="B23" s="21" t="str">
        <x:v>Do not give speculation free hardware. Extra GPU/memory cost must be included when the proposer requires it.</x:v>
      </x:c>
    </x:row>
    <x:row r="24">
      <x:c r="A24" s="27" t="str">
        <x:v>MANDATORY</x:v>
      </x:c>
      <x:c r="B24" s="21" t="str">
        <x:v>Same target model, GPU count, hardware, precision, traffic, sampling, ISL/OSL and SLO are required for a fair comparison.</x:v>
      </x:c>
    </x:row>
    <x:row r="25">
      <x:c r="A25" s="27" t="str">
        <x:v>MANDATORY</x:v>
      </x:c>
      <x:c r="B25" s="21" t="str">
        <x:v>Recommendation becomes INSUFFICIENT MEASUREMENT when required acceptance, timing, support or SLO data are missing/invalid.</x:v>
      </x:c>
    </x:row>
    <x:row r="26">
      <x:c r="A26" s="25"/>
      <x:c r="B26" s="25"/>
    </x:row>
    <x:row r="27">
      <x:c r="A27" s="25"/>
      <x:c r="B27" s="25"/>
    </x:row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28" hidden="0" customWidth="1"/>
    <x:col min="4" max="4" width="24" hidden="0" customWidth="1"/>
    <x:col min="5" max="5" width="80" hidden="0" customWidth="1"/>
  </x:cols>
  <x:sheetData>
    <x:row r="1">
      <x:c r="A1" s="26" t="str">
        <x:v>Selected method input</x:v>
      </x:c>
      <x:c r="B1" s="26" t="str">
        <x:v>Value</x:v>
      </x:c>
      <x:c r="C1" s="26" t="str">
        <x:v>Required state</x:v>
      </x:c>
      <x:c r="D1" s="26" t="str">
        <x:v>Status</x:v>
      </x:c>
      <x:c r="E1" s="26" t="str">
        <x:v>Note</x:v>
      </x:c>
    </x:row>
    <x:row r="2">
      <x:c r="A2" s="25" t="str">
        <x:v>Runtime / version</x:v>
      </x:c>
      <x:c r="B2" s="36" t="str">
        <x:v>vLLM current documentation</x:v>
      </x:c>
      <x:c r="C2" s="25" t="str">
        <x:v>buyer-pinned current version</x:v>
      </x:c>
      <x:c r="D2" s="37" t="str">
        <x:f>IF(B2&lt;&gt;"","PASS","MISSING")</x:f>
        <x:v>PASS</x:v>
      </x:c>
      <x:c r="E2" s="25" t="str">
        <x:v>Pin actual production version before deployment.</x:v>
      </x:c>
    </x:row>
    <x:row r="3">
      <x:c r="A3" s="25" t="str">
        <x:v>Proposer method</x:v>
      </x:c>
      <x:c r="B3" s="36" t="str">
        <x:v>draft model</x:v>
      </x:c>
      <x:c r="C3" s="25" t="str">
        <x:v>supported</x:v>
      </x:c>
      <x:c r="D3" s="37" t="str">
        <x:f>IF(B3&lt;&gt;"","PASS","MISSING")</x:f>
        <x:v>PASS</x:v>
      </x:c>
      <x:c r="E3" s="25" t="str">
        <x:v>Current vLLM docs list draft-model speculative decoding.</x:v>
      </x:c>
    </x:row>
    <x:row r="4">
      <x:c r="A4" s="25" t="str">
        <x:v>Runtime method support</x:v>
      </x:c>
      <x:c r="B4" s="36" t="str">
        <x:v>SUPPORTED</x:v>
      </x:c>
      <x:c r="C4" s="25" t="str">
        <x:v>SUPPORTED</x:v>
      </x:c>
      <x:c r="D4" s="37" t="str">
        <x:f>IF(B4="SUPPORTED","PASS","UNSUPPORTED / UNKNOWN")</x:f>
        <x:v>PASS</x:v>
      </x:c>
      <x:c r="E4" s="25" t="str">
        <x:v>Set unsupported/unknown to block recommendation.</x:v>
      </x:c>
    </x:row>
    <x:row r="5">
      <x:c r="A5" s="25" t="str">
        <x:v>Sampling / acceptance semantics</x:v>
      </x:c>
      <x:c r="B5" s="36" t="str">
        <x:v>ORIGINAL_COMPATIBLE_BONUS</x:v>
      </x:c>
      <x:c r="C5" s="25" t="str">
        <x:v>ORIGINAL_COMPATIBLE_BONUS or measured method-specific</x:v>
      </x:c>
      <x:c r="D5" s="37" t="str">
        <x:f>IF(OR(B5="ORIGINAL_COMPATIBLE_BONUS",B5="METHOD_SPECIFIC_MEASURED"),"PASS","INCOMPATIBLE SEMANTICS")</x:f>
        <x:v>PASS</x:v>
      </x:c>
      <x:c r="E5" s="25" t="str">
        <x:v>Allows iid E[Y]=1+E[A] teaching formula only when compatible.</x:v>
      </x:c>
    </x:row>
    <x:row r="6">
      <x:c r="A6" s="25" t="str">
        <x:v>Acceptance measured?</x:v>
      </x:c>
      <x:c r="B6" s="36" t="str">
        <x:v>YES</x:v>
      </x:c>
      <x:c r="C6" s="25" t="str">
        <x:v>YES</x:v>
      </x:c>
      <x:c r="D6" s="37" t="str">
        <x:f>IF(B6="YES","PASS","MISSING ACCEPTANCE")</x:f>
        <x:v>PASS</x:v>
      </x:c>
      <x:c r="E6" s="25" t="str">
        <x:v>Buyer must provide acceptance trace/profile.</x:v>
      </x:c>
    </x:row>
    <x:row r="7">
      <x:c r="A7" s="25" t="str">
        <x:v>Timing measured by k?</x:v>
      </x:c>
      <x:c r="B7" s="36" t="str">
        <x:v>YES</x:v>
      </x:c>
      <x:c r="C7" s="25" t="str">
        <x:v>YES</x:v>
      </x:c>
      <x:c r="D7" s="37" t="str">
        <x:f>IF(B7="YES","PASS","MISSING TIMINGS")</x:f>
        <x:v>PASS</x:v>
      </x:c>
      <x:c r="E7" s="25" t="str">
        <x:v>Default timings are scenario placeholders; replace with measurements.</x:v>
      </x:c>
    </x:row>
    <x:row r="8">
      <x:c r="A8" s="25" t="str">
        <x:v>Other overhead included?</x:v>
      </x:c>
      <x:c r="B8" s="36" t="str">
        <x:v>YES</x:v>
      </x:c>
      <x:c r="C8" s="25" t="str">
        <x:v>YES</x:v>
      </x:c>
      <x:c r="D8" s="37" t="str">
        <x:f>IF(B8="YES","PASS","OVERHEAD OMITTED")</x:f>
        <x:v>PASS</x:v>
      </x:c>
      <x:c r="E8" s="25" t="str">
        <x:v>Includes scheduler/bookkeeping/copy/sampling overhead.</x:v>
      </x:c>
    </x:row>
    <x:row r="9">
      <x:c r="A9" s="25" t="str">
        <x:v>Extra GPU required?</x:v>
      </x:c>
      <x:c r="B9" s="36" t="str">
        <x:v>NO</x:v>
      </x:c>
      <x:c r="C9" s="25" t="str">
        <x:v>YES/NO</x:v>
      </x:c>
      <x:c r="D9" s="37" t="str">
        <x:f>IF(OR(B9="YES",B9="NO"),"PASS","INVALID")</x:f>
        <x:v>PASS</x:v>
      </x:c>
      <x:c r="E9" s="25" t="str">
        <x:v>If YES, WORKLOAD extra GPU count must be &gt;0.</x:v>
      </x:c>
    </x:row>
    <x:row r="10">
      <x:c r="A10" s="25"/>
      <x:c r="B10" s="25"/>
      <x:c r="C10" s="25"/>
      <x:c r="D10" s="25"/>
      <x:c r="E10" s="25"/>
    </x:row>
    <x:row r="11">
      <x:c r="A11" s="25"/>
      <x:c r="B11" s="25"/>
      <x:c r="C11" s="25"/>
      <x:c r="D11" s="25"/>
      <x:c r="E11" s="25"/>
    </x:row>
    <x:row r="12">
      <x:c r="A12" s="26" t="str">
        <x:v>Runtime</x:v>
      </x:c>
      <x:c r="B12" s="26" t="str">
        <x:v>Method</x:v>
      </x:c>
      <x:c r="C12" s="26" t="str">
        <x:v>Proposer type</x:v>
      </x:c>
      <x:c r="D12" s="26" t="str">
        <x:v>Separate model?</x:v>
      </x:c>
      <x:c r="E12" s="26" t="str">
        <x:v>Current note</x:v>
      </x:c>
    </x:row>
    <x:row r="13">
      <x:c r="A13" s="25" t="str">
        <x:v>vLLM</x:v>
      </x:c>
      <x:c r="B13" s="25" t="str">
        <x:v>EAGLE / EAGLE3</x:v>
      </x:c>
      <x:c r="C13" s="25" t="str">
        <x:v>learned proposer</x:v>
      </x:c>
      <x:c r="D13" s="25" t="str">
        <x:v>yes/model-specific</x:v>
      </x:c>
      <x:c r="E13" s="25" t="str">
        <x:v>Current docs; dynamic K support is proposer/version constrained.</x:v>
      </x:c>
    </x:row>
    <x:row r="14">
      <x:c r="A14" s="25" t="str">
        <x:v>vLLM</x:v>
      </x:c>
      <x:c r="B14" s="25" t="str">
        <x:v>MTP</x:v>
      </x:c>
      <x:c r="C14" s="25" t="str">
        <x:v>native MTP</x:v>
      </x:c>
      <x:c r="D14" s="25" t="str">
        <x:v>no separate model when native</x:v>
      </x:c>
      <x:c r="E14" s="25" t="str">
        <x:v>Current docs; supported model families only.</x:v>
      </x:c>
    </x:row>
    <x:row r="15">
      <x:c r="A15" s="25" t="str">
        <x:v>vLLM</x:v>
      </x:c>
      <x:c r="B15" s="25" t="str">
        <x:v>draft model</x:v>
      </x:c>
      <x:c r="C15" s="25" t="str">
        <x:v>autoregressive smaller model</x:v>
      </x:c>
      <x:c r="D15" s="25" t="str">
        <x:v>yes</x:v>
      </x:c>
      <x:c r="E15" s="25" t="str">
        <x:v>Count draft weights/cache/workspace and timing.</x:v>
      </x:c>
    </x:row>
    <x:row r="16">
      <x:c r="A16" s="25" t="str">
        <x:v>vLLM</x:v>
      </x:c>
      <x:c r="B16" s="25" t="str">
        <x:v>n-gram / suffix</x:v>
      </x:c>
      <x:c r="C16" s="25" t="str">
        <x:v>lookup/pattern</x:v>
      </x:c>
      <x:c r="D16" s="25" t="str">
        <x:v>no</x:v>
      </x:c>
      <x:c r="E16" s="25" t="str">
        <x:v>Different cost structure; do not use linear draft-model assumptions.</x:v>
      </x:c>
    </x:row>
    <x:row r="17">
      <x:c r="A17" s="25" t="str">
        <x:v>TensorRT-LLM</x:v>
      </x:c>
      <x:c r="B17" s="25" t="str">
        <x:v>MTP / EAGLE3 / DRAFT_TARGET / NGRAM</x:v>
      </x:c>
      <x:c r="C17" s="25" t="str">
        <x:v>method-specific</x:v>
      </x:c>
      <x:c r="D17" s="25" t="str">
        <x:v>varies</x:v>
      </x:c>
      <x:c r="E17" s="25" t="str">
        <x:v>Current example/API documents these modes and load-aware controls.</x:v>
      </x:c>
    </x:row>
    <x:row r="18">
      <x:c r="A18" s="25" t="str">
        <x:v>SGLang</x:v>
      </x:c>
      <x:c r="B18" s="25" t="str">
        <x:v>EAGLE2/3 / MTP / DFLASH / draft / NGRAM</x:v>
      </x:c>
      <x:c r="C18" s="25" t="str">
        <x:v>method-specific</x:v>
      </x:c>
      <x:c r="D18" s="25" t="str">
        <x:v>varies</x:v>
      </x:c>
      <x:c r="E18" s="25" t="str">
        <x:v>Current main docs; Speculative Decoding V2/adaptive support varies by method.</x:v>
      </x:c>
    </x:row>
    <x:row r="19">
      <x:c r="A19" s="25"/>
      <x:c r="B19" s="25"/>
      <x:c r="C19" s="25"/>
      <x:c r="D19" s="25"/>
      <x:c r="E19" s="25"/>
    </x:row>
    <x:row r="20">
      <x:c r="A20" s="25"/>
      <x:c r="B20" s="25"/>
      <x:c r="C20" s="25"/>
      <x:c r="D20" s="25"/>
      <x:c r="E20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0" hidden="0" customWidth="1"/>
    <x:col min="3" max="3" width="22" hidden="0" customWidth="1"/>
    <x:col min="4" max="4" width="23" hidden="0" customWidth="1"/>
    <x:col min="5" max="5" width="70" hidden="0" customWidth="1"/>
  </x:cols>
  <x:sheetData>
    <x:row r="1">
      <x:c r="A1" s="26" t="str">
        <x:v>Input</x:v>
      </x:c>
      <x:c r="B1" s="26" t="str">
        <x:v>Value</x:v>
      </x:c>
      <x:c r="C1" s="26" t="str">
        <x:v>Unit</x:v>
      </x:c>
      <x:c r="D1" s="26" t="str">
        <x:v>Classification</x:v>
      </x:c>
      <x:c r="E1" s="26" t="str">
        <x:v>Note</x:v>
      </x:c>
    </x:row>
    <x:row r="2">
      <x:c r="A2" s="25" t="str">
        <x:v>Target model</x:v>
      </x:c>
      <x:c r="B2" s="36" t="str">
        <x:v>BUYER_TARGET_MODEL</x:v>
      </x:c>
      <x:c r="C2" s="25" t="str"/>
      <x:c r="D2" s="25" t="str">
        <x:v>SCENARIO placeholder</x:v>
      </x:c>
      <x:c r="E2" s="25" t="str">
        <x:v>Use actual target model.</x:v>
      </x:c>
    </x:row>
    <x:row r="3">
      <x:c r="A3" s="25" t="str">
        <x:v>Draft / proposer</x:v>
      </x:c>
      <x:c r="B3" s="36" t="str">
        <x:v>BUYER_DRAFT_MODEL</x:v>
      </x:c>
      <x:c r="C3" s="25" t="str"/>
      <x:c r="D3" s="25" t="str">
        <x:v>SCENARIO placeholder</x:v>
      </x:c>
      <x:c r="E3" s="25" t="str">
        <x:v>Use actual supported proposer.</x:v>
      </x:c>
    </x:row>
    <x:row r="4">
      <x:c r="A4" s="25" t="str">
        <x:v>GPU</x:v>
      </x:c>
      <x:c r="B4" s="36" t="str">
        <x:v>BUYER_GPU</x:v>
      </x:c>
      <x:c r="C4" s="25" t="str"/>
      <x:c r="D4" s="25" t="str">
        <x:v>SCENARIO placeholder</x:v>
      </x:c>
      <x:c r="E4" s="25" t="str">
        <x:v>Same hardware both comparison rows.</x:v>
      </x:c>
    </x:row>
    <x:row r="5">
      <x:c r="A5" s="25" t="str">
        <x:v>Baseline GPU count</x:v>
      </x:c>
      <x:c r="B5" s="36" t="n">
        <x:v>4</x:v>
      </x:c>
      <x:c r="C5" s="25" t="str">
        <x:v>GPUs</x:v>
      </x:c>
      <x:c r="D5" s="25" t="str">
        <x:v>SCENARIO</x:v>
      </x:c>
      <x:c r="E5" s="25" t="str">
        <x:v>Same budget baseline.</x:v>
      </x:c>
    </x:row>
    <x:row r="6">
      <x:c r="A6" s="25" t="str">
        <x:v>Extra speculative GPU count</x:v>
      </x:c>
      <x:c r="B6" s="36" t="n">
        <x:v>0</x:v>
      </x:c>
      <x:c r="C6" s="25" t="str">
        <x:v>GPUs</x:v>
      </x:c>
      <x:c r="D6" s="25" t="str">
        <x:v>SCENARIO</x:v>
      </x:c>
      <x:c r="E6" s="25" t="str">
        <x:v>Must be &gt;0 if METHOD says extra GPU required.</x:v>
      </x:c>
    </x:row>
    <x:row r="7">
      <x:c r="A7" s="25" t="str">
        <x:v>Baseline target token time T_t</x:v>
      </x:c>
      <x:c r="B7" s="36" t="n">
        <x:v>20</x:v>
      </x:c>
      <x:c r="C7" s="25" t="str">
        <x:v>ms/output token</x:v>
      </x:c>
      <x:c r="D7" s="25" t="str">
        <x:v>SCENARIO</x:v>
      </x:c>
      <x:c r="E7" s="25" t="str">
        <x:v>Measure in relevant load bucket.</x:v>
      </x:c>
    </x:row>
    <x:row r="8">
      <x:c r="A8" s="25" t="str">
        <x:v>Selected speculation depth k</x:v>
      </x:c>
      <x:c r="B8" s="36" t="n">
        <x:v>4</x:v>
      </x:c>
      <x:c r="C8" s="25" t="str">
        <x:v>tokens/cycle</x:v>
      </x:c>
      <x:c r="D8" s="25" t="str">
        <x:v>SCENARIO</x:v>
      </x:c>
      <x:c r="E8" s="25" t="str">
        <x:v>Positive integer.</x:v>
      </x:c>
    </x:row>
    <x:row r="9">
      <x:c r="A9" s="25" t="str">
        <x:v>Arrival QPS</x:v>
      </x:c>
      <x:c r="B9" s="36" t="n">
        <x:v>10</x:v>
      </x:c>
      <x:c r="C9" s="25" t="str">
        <x:v>requests/s</x:v>
      </x:c>
      <x:c r="D9" s="25" t="str">
        <x:v>SCENARIO</x:v>
      </x:c>
      <x:c r="E9" s="25" t="str">
        <x:v>Primary low/medium-load case.</x:v>
      </x:c>
    </x:row>
    <x:row r="10">
      <x:c r="A10" s="25" t="str">
        <x:v>Load bucket</x:v>
      </x:c>
      <x:c r="B10" s="36" t="str">
        <x:v>LOW/MEDIUM</x:v>
      </x:c>
      <x:c r="C10" s="25" t="str"/>
      <x:c r="D10" s="25" t="str">
        <x:v>SCENARIO</x:v>
      </x:c>
      <x:c r="E10" s="25" t="str">
        <x:v>Qualitative label only.</x:v>
      </x:c>
    </x:row>
    <x:row r="11">
      <x:c r="A11" s="25" t="str">
        <x:v>ISL p50</x:v>
      </x:c>
      <x:c r="B11" s="36" t="n">
        <x:v>1024</x:v>
      </x:c>
      <x:c r="C11" s="25" t="str">
        <x:v>tokens</x:v>
      </x:c>
      <x:c r="D11" s="25" t="str">
        <x:v>SCENARIO</x:v>
      </x:c>
      <x:c r="E11" s="25" t="str">
        <x:v>Input distribution.</x:v>
      </x:c>
    </x:row>
    <x:row r="12">
      <x:c r="A12" s="25" t="str">
        <x:v>ISL p95</x:v>
      </x:c>
      <x:c r="B12" s="36" t="n">
        <x:v>4096</x:v>
      </x:c>
      <x:c r="C12" s="25" t="str">
        <x:v>tokens</x:v>
      </x:c>
      <x:c r="D12" s="25" t="str">
        <x:v>SCENARIO</x:v>
      </x:c>
      <x:c r="E12" s="25" t="str">
        <x:v>Input distribution.</x:v>
      </x:c>
    </x:row>
    <x:row r="13">
      <x:c r="A13" s="25" t="str">
        <x:v>OSL p50</x:v>
      </x:c>
      <x:c r="B13" s="36" t="n">
        <x:v>256</x:v>
      </x:c>
      <x:c r="C13" s="25" t="str">
        <x:v>tokens</x:v>
      </x:c>
      <x:c r="D13" s="25" t="str">
        <x:v>SCENARIO</x:v>
      </x:c>
      <x:c r="E13" s="25" t="str">
        <x:v>Used for token economics.</x:v>
      </x:c>
    </x:row>
    <x:row r="14">
      <x:c r="A14" s="25" t="str">
        <x:v>OSL p95</x:v>
      </x:c>
      <x:c r="B14" s="36" t="n">
        <x:v>512</x:v>
      </x:c>
      <x:c r="C14" s="25" t="str">
        <x:v>tokens</x:v>
      </x:c>
      <x:c r="D14" s="25" t="str">
        <x:v>SCENARIO</x:v>
      </x:c>
      <x:c r="E14" s="25" t="str">
        <x:v>Output distribution.</x:v>
      </x:c>
    </x:row>
    <x:row r="15">
      <x:c r="A15" s="25" t="str">
        <x:v>TTFT SLA</x:v>
      </x:c>
      <x:c r="B15" s="36" t="n">
        <x:v>250</x:v>
      </x:c>
      <x:c r="C15" s="25" t="str">
        <x:v>ms</x:v>
      </x:c>
      <x:c r="D15" s="25" t="str">
        <x:v>SCENARIO</x:v>
      </x:c>
      <x:c r="E15" s="25" t="str">
        <x:v>Same both modes.</x:v>
      </x:c>
    </x:row>
    <x:row r="16">
      <x:c r="A16" s="25" t="str">
        <x:v>TPOT SLA</x:v>
      </x:c>
      <x:c r="B16" s="36" t="n">
        <x:v>20</x:v>
      </x:c>
      <x:c r="C16" s="25" t="str">
        <x:v>ms/token</x:v>
      </x:c>
      <x:c r="D16" s="25" t="str">
        <x:v>SCENARIO</x:v>
      </x:c>
      <x:c r="E16" s="25" t="str">
        <x:v>Same both modes.</x:v>
      </x:c>
    </x:row>
    <x:row r="17">
      <x:c r="A17" s="25" t="str">
        <x:v>Baseline p95 TTFT</x:v>
      </x:c>
      <x:c r="B17" s="36" t="n">
        <x:v>180</x:v>
      </x:c>
      <x:c r="C17" s="25" t="str">
        <x:v>ms</x:v>
      </x:c>
      <x:c r="D17" s="25" t="str">
        <x:v>SCENARIO outcome</x:v>
      </x:c>
      <x:c r="E17" s="25" t="str">
        <x:v>Replace with measured.</x:v>
      </x:c>
    </x:row>
    <x:row r="18">
      <x:c r="A18" s="25" t="str">
        <x:v>Baseline p95 TPOT</x:v>
      </x:c>
      <x:c r="B18" s="36" t="n">
        <x:v>24</x:v>
      </x:c>
      <x:c r="C18" s="25" t="str">
        <x:v>ms/token</x:v>
      </x:c>
      <x:c r="D18" s="25" t="str">
        <x:v>SCENARIO outcome</x:v>
      </x:c>
      <x:c r="E18" s="25" t="str">
        <x:v>Replace with measured.</x:v>
      </x:c>
    </x:row>
    <x:row r="19">
      <x:c r="A19" s="25" t="str">
        <x:v>Speculative p95 TTFT</x:v>
      </x:c>
      <x:c r="B19" s="36" t="n">
        <x:v>185</x:v>
      </x:c>
      <x:c r="C19" s="25" t="str">
        <x:v>ms</x:v>
      </x:c>
      <x:c r="D19" s="25" t="str">
        <x:v>SCENARIO outcome</x:v>
      </x:c>
      <x:c r="E19" s="25" t="str">
        <x:v>Replace with measured.</x:v>
      </x:c>
    </x:row>
    <x:row r="20">
      <x:c r="A20" s="25" t="str">
        <x:v>Speculative p95 TPOT</x:v>
      </x:c>
      <x:c r="B20" s="36" t="n">
        <x:v>15</x:v>
      </x:c>
      <x:c r="C20" s="25" t="str">
        <x:v>ms/token</x:v>
      </x:c>
      <x:c r="D20" s="25" t="str">
        <x:v>SCENARIO outcome</x:v>
      </x:c>
      <x:c r="E20" s="25" t="str">
        <x:v>Replace with measured.</x:v>
      </x:c>
    </x:row>
    <x:row r="21">
      <x:c r="A21" s="25" t="str">
        <x:v>Baseline SLO success</x:v>
      </x:c>
      <x:c r="B21" s="42" t="n">
        <x:v>0.82</x:v>
      </x:c>
      <x:c r="C21" s="25" t="str">
        <x:v>ratio</x:v>
      </x:c>
      <x:c r="D21" s="25" t="str">
        <x:v>SCENARIO outcome</x:v>
      </x:c>
      <x:c r="E21" s="25" t="str">
        <x:v>Same acceptance rule.</x:v>
      </x:c>
    </x:row>
    <x:row r="22">
      <x:c r="A22" s="25" t="str">
        <x:v>Speculative SLO success</x:v>
      </x:c>
      <x:c r="B22" s="42" t="n">
        <x:v>0.95</x:v>
      </x:c>
      <x:c r="C22" s="25" t="str">
        <x:v>ratio</x:v>
      </x:c>
      <x:c r="D22" s="25" t="str">
        <x:v>SCENARIO outcome</x:v>
      </x:c>
      <x:c r="E22" s="25" t="str">
        <x:v>Same acceptance rule.</x:v>
      </x:c>
    </x:row>
    <x:row r="23">
      <x:c r="A23" s="25" t="str">
        <x:v>GPU cost / hour</x:v>
      </x:c>
      <x:c r="B23" s="36" t="n">
        <x:v>4</x:v>
      </x:c>
      <x:c r="C23" s="25" t="str">
        <x:v>currency/GPU-hour</x:v>
      </x:c>
      <x:c r="D23" s="25" t="str">
        <x:v>SCENARIO input</x:v>
      </x:c>
      <x:c r="E23" s="25" t="str">
        <x:v>Not a market price.</x:v>
      </x:c>
    </x:row>
    <x:row r="24">
      <x:c r="A24" s="25" t="str">
        <x:v>Extra speculative cost / hour</x:v>
      </x:c>
      <x:c r="B24" s="36" t="n">
        <x:v>0</x:v>
      </x:c>
      <x:c r="C24" s="25" t="str">
        <x:v>currency/hour</x:v>
      </x:c>
      <x:c r="D24" s="25" t="str">
        <x:v>SCENARIO input</x:v>
      </x:c>
      <x:c r="E24" s="25" t="str">
        <x:v>Network/license/other if applicable.</x:v>
      </x:c>
    </x:row>
    <x:row r="25">
      <x:c r="A25" s="25" t="str">
        <x:v>Draft extra memory</x:v>
      </x:c>
      <x:c r="B25" s="36" t="n">
        <x:v>6</x:v>
      </x:c>
      <x:c r="C25" s="25" t="str">
        <x:v>GB</x:v>
      </x:c>
      <x:c r="D25" s="25" t="str">
        <x:v>SCENARIO input</x:v>
      </x:c>
      <x:c r="E25" s="25" t="str">
        <x:v>For draft-model method.</x:v>
      </x:c>
    </x:row>
    <x:row r="26">
      <x:c r="A26" s="25" t="str">
        <x:v>Available memory headroom</x:v>
      </x:c>
      <x:c r="B26" s="36" t="n">
        <x:v>20</x:v>
      </x:c>
      <x:c r="C26" s="25" t="str">
        <x:v>GB</x:v>
      </x:c>
      <x:c r="D26" s="25" t="str">
        <x:v>SCENARIO input</x:v>
      </x:c>
      <x:c r="E26" s="25" t="str">
        <x:v>Same GPU group.</x:v>
      </x:c>
    </x:row>
    <x:row r="27">
      <x:c r="A27" s="25"/>
      <x:c r="B27" s="25"/>
      <x:c r="C27" s="25"/>
      <x:c r="D27" s="25"/>
      <x:c r="E27" s="25"/>
    </x:row>
    <x:row r="28">
      <x:c r="A28" s="25"/>
      <x:c r="B28" s="25"/>
      <x:c r="C28" s="25"/>
      <x:c r="D28" s="25"/>
      <x:c r="E28" s="2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2" hidden="0" customWidth="1"/>
  </x:cols>
  <x:sheetData>
    <x:row r="1">
      <x:c r="A1" s="26" t="str">
        <x:v>Acceptance input</x:v>
      </x:c>
      <x:c r="B1" s="26" t="str">
        <x:v>Value</x:v>
      </x:c>
      <x:c r="C1" s="26" t="str">
        <x:v>State</x:v>
      </x:c>
      <x:c r="D1" s="26" t="str">
        <x:v>Note</x:v>
      </x:c>
      <x:c r="E1" s="25"/>
      <x:c r="F1" s="25"/>
    </x:row>
    <x:row r="2">
      <x:c r="A2" s="25" t="str">
        <x:v>Mode</x:v>
      </x:c>
      <x:c r="B2" s="36" t="str">
        <x:v>CONSTANT_ALPHA</x:v>
      </x:c>
      <x:c r="C2" s="37" t="str">
        <x:f>IF(OR(B2="CONSTANT_ALPHA",B2="DEPTH_SPECIFIC"),"PASS","INVALID MODE")</x:f>
        <x:v>PASS</x:v>
      </x:c>
      <x:c r="D2" s="25" t="str">
        <x:v>CONSTANT_ALPHA or DEPTH_SPECIFIC</x:v>
      </x:c>
      <x:c r="E2" s="25"/>
      <x:c r="F2" s="25"/>
    </x:row>
    <x:row r="3">
      <x:c r="A3" s="25" t="str">
        <x:v>Constant alpha</x:v>
      </x:c>
      <x:c r="B3" s="36" t="n">
        <x:v>0.8</x:v>
      </x:c>
      <x:c r="C3" s="37" t="str">
        <x:f>IF(AND(B3&gt;=0,B3&lt;=1),"PASS","INVALID ALPHA")</x:f>
        <x:v>PASS</x:v>
      </x:c>
      <x:c r="D3" s="25" t="str">
        <x:v>Used only in constant-alpha mode.</x:v>
      </x:c>
      <x:c r="E3" s="25"/>
      <x:c r="F3" s="25"/>
    </x:row>
    <x:row r="4">
      <x:c r="A4" s="25" t="str">
        <x:v>Emission semantics</x:v>
      </x:c>
      <x:c r="B4" s="36" t="str">
        <x:v>ORIGINAL_COMPATIBLE_BONUS</x:v>
      </x:c>
      <x:c r="C4" s="37" t="str">
        <x:f>IF(B4="ORIGINAL_COMPATIBLE_BONUS","PASS","METHOD-SPECIFIC: DO NOT USE IID E[Y]")</x:f>
        <x:v>PASS</x:v>
      </x:c>
      <x:c r="D4" s="25" t="str">
        <x:v>Required for E[Y]=1+E[A] teaching model.</x:v>
      </x:c>
      <x:c r="E4" s="25"/>
      <x:c r="F4" s="25"/>
    </x:row>
    <x:row r="5">
      <x:c r="A5" s="25" t="str">
        <x:v>Acceptance trace present</x:v>
      </x:c>
      <x:c r="B5" s="36" t="str">
        <x:v>YES</x:v>
      </x:c>
      <x:c r="C5" s="37" t="str">
        <x:f>IF(B5="YES","PASS","MISSING ACCEPTANCE")</x:f>
        <x:v>PASS</x:v>
      </x:c>
      <x:c r="D5" s="25" t="str">
        <x:v>Recommendation gate.</x:v>
      </x:c>
      <x:c r="E5" s="25"/>
      <x:c r="F5" s="25"/>
    </x:row>
    <x:row r="6">
      <x:c r="A6" s="25"/>
      <x:c r="B6" s="25"/>
      <x:c r="C6" s="25"/>
      <x:c r="D6" s="25"/>
      <x:c r="E6" s="25"/>
      <x:c r="F6" s="25"/>
    </x:row>
    <x:row r="7">
      <x:c r="A7" s="25"/>
      <x:c r="B7" s="25"/>
      <x:c r="C7" s="25"/>
      <x:c r="D7" s="25"/>
      <x:c r="E7" s="25"/>
      <x:c r="F7" s="25"/>
    </x:row>
    <x:row r="8">
      <x:c r="A8" s="26" t="str">
        <x:v>Position i</x:v>
      </x:c>
      <x:c r="B8" s="26" t="str">
        <x:v>Input p_i</x:v>
      </x:c>
      <x:c r="C8" s="26" t="str">
        <x:v>Effective p_i</x:v>
      </x:c>
      <x:c r="D8" s="26" t="str">
        <x:v>Accepted-through-i probability</x:v>
      </x:c>
      <x:c r="E8" s="26" t="str">
        <x:v>Contribution to E[A]</x:v>
      </x:c>
      <x:c r="F8" s="26" t="str">
        <x:v>State</x:v>
      </x:c>
    </x:row>
    <x:row r="9">
      <x:c r="A9" s="25" t="n">
        <x:v>1</x:v>
      </x:c>
      <x:c r="B9" s="36" t="n">
        <x:v>0.8</x:v>
      </x:c>
      <x:c r="C9" s="37" t="n">
        <x:f>IF($B$2="CONSTANT_ALPHA",$B$3,B9)</x:f>
        <x:v>0.8</x:v>
      </x:c>
      <x:c r="D9" s="37" t="n">
        <x:f>C9</x:f>
        <x:v>0.8</x:v>
      </x:c>
      <x:c r="E9" s="37" t="n">
        <x:f>IF(A9&lt;=WORKLOAD!B8,D9,0)</x:f>
        <x:v>0.8</x:v>
      </x:c>
      <x:c r="F9" s="37" t="str">
        <x:f>IF(AND(C9&gt;=0,C9&lt;=1),"PASS","INVALID p_i")</x:f>
        <x:v>PASS</x:v>
      </x:c>
    </x:row>
    <x:row r="10">
      <x:c r="A10" s="25" t="n">
        <x:v>2</x:v>
      </x:c>
      <x:c r="B10" s="36" t="n">
        <x:v>0.8</x:v>
      </x:c>
      <x:c r="C10" s="37" t="n">
        <x:f>IF($B$2="CONSTANT_ALPHA",$B$3,B10)</x:f>
        <x:v>0.8</x:v>
      </x:c>
      <x:c r="D10" s="37" t="n">
        <x:f>D9*C10</x:f>
        <x:v>0.6400000000000001</x:v>
      </x:c>
      <x:c r="E10" s="37" t="n">
        <x:f>IF(A10&lt;=WORKLOAD!B8,D10,0)</x:f>
        <x:v>0.6400000000000001</x:v>
      </x:c>
      <x:c r="F10" s="37" t="str">
        <x:f>IF(AND(C10&gt;=0,C10&lt;=1),"PASS","INVALID p_i")</x:f>
        <x:v>PASS</x:v>
      </x:c>
    </x:row>
    <x:row r="11">
      <x:c r="A11" s="25" t="n">
        <x:v>3</x:v>
      </x:c>
      <x:c r="B11" s="36" t="n">
        <x:v>0.8</x:v>
      </x:c>
      <x:c r="C11" s="37" t="n">
        <x:f>IF($B$2="CONSTANT_ALPHA",$B$3,B11)</x:f>
        <x:v>0.8</x:v>
      </x:c>
      <x:c r="D11" s="37" t="n">
        <x:f>D10*C11</x:f>
        <x:v>0.5120000000000001</x:v>
      </x:c>
      <x:c r="E11" s="37" t="n">
        <x:f>IF(A11&lt;=WORKLOAD!B8,D11,0)</x:f>
        <x:v>0.5120000000000001</x:v>
      </x:c>
      <x:c r="F11" s="37" t="str">
        <x:f>IF(AND(C11&gt;=0,C11&lt;=1),"PASS","INVALID p_i")</x:f>
        <x:v>PASS</x:v>
      </x:c>
    </x:row>
    <x:row r="12">
      <x:c r="A12" s="25" t="n">
        <x:v>4</x:v>
      </x:c>
      <x:c r="B12" s="36" t="n">
        <x:v>0.8</x:v>
      </x:c>
      <x:c r="C12" s="37" t="n">
        <x:f>IF($B$2="CONSTANT_ALPHA",$B$3,B12)</x:f>
        <x:v>0.8</x:v>
      </x:c>
      <x:c r="D12" s="37" t="n">
        <x:f>D11*C12</x:f>
        <x:v>0.40960000000000013</x:v>
      </x:c>
      <x:c r="E12" s="37" t="n">
        <x:f>IF(A12&lt;=WORKLOAD!B8,D12,0)</x:f>
        <x:v>0.40960000000000013</x:v>
      </x:c>
      <x:c r="F12" s="37" t="str">
        <x:f>IF(AND(C12&gt;=0,C12&lt;=1),"PASS","INVALID p_i")</x:f>
        <x:v>PASS</x:v>
      </x:c>
    </x:row>
    <x:row r="13">
      <x:c r="A13" s="25" t="n">
        <x:v>5</x:v>
      </x:c>
      <x:c r="B13" s="36" t="n">
        <x:v>0.8</x:v>
      </x:c>
      <x:c r="C13" s="37" t="n">
        <x:f>IF($B$2="CONSTANT_ALPHA",$B$3,B13)</x:f>
        <x:v>0.8</x:v>
      </x:c>
      <x:c r="D13" s="37" t="n">
        <x:f>D12*C13</x:f>
        <x:v>0.32768000000000014</x:v>
      </x:c>
      <x:c r="E13" s="37" t="n">
        <x:f>IF(A13&lt;=WORKLOAD!B8,D13,0)</x:f>
        <x:v>0</x:v>
      </x:c>
      <x:c r="F13" s="37" t="str">
        <x:f>IF(AND(C13&gt;=0,C13&lt;=1),"PASS","INVALID p_i")</x:f>
        <x:v>PASS</x:v>
      </x:c>
    </x:row>
    <x:row r="14">
      <x:c r="A14" s="25" t="n">
        <x:v>6</x:v>
      </x:c>
      <x:c r="B14" s="36" t="n">
        <x:v>0.8</x:v>
      </x:c>
      <x:c r="C14" s="37" t="n">
        <x:f>IF($B$2="CONSTANT_ALPHA",$B$3,B14)</x:f>
        <x:v>0.8</x:v>
      </x:c>
      <x:c r="D14" s="37" t="n">
        <x:f>D13*C14</x:f>
        <x:v>0.2621440000000001</x:v>
      </x:c>
      <x:c r="E14" s="37" t="n">
        <x:f>IF(A14&lt;=WORKLOAD!B8,D14,0)</x:f>
        <x:v>0</x:v>
      </x:c>
      <x:c r="F14" s="37" t="str">
        <x:f>IF(AND(C14&gt;=0,C14&lt;=1),"PASS","INVALID p_i")</x:f>
        <x:v>PASS</x:v>
      </x:c>
    </x:row>
    <x:row r="15">
      <x:c r="A15" s="25" t="n">
        <x:v>7</x:v>
      </x:c>
      <x:c r="B15" s="36" t="n">
        <x:v>0.8</x:v>
      </x:c>
      <x:c r="C15" s="37" t="n">
        <x:f>IF($B$2="CONSTANT_ALPHA",$B$3,B15)</x:f>
        <x:v>0.8</x:v>
      </x:c>
      <x:c r="D15" s="37" t="n">
        <x:f>D14*C15</x:f>
        <x:v>0.2097152000000001</x:v>
      </x:c>
      <x:c r="E15" s="37" t="n">
        <x:f>IF(A15&lt;=WORKLOAD!B8,D15,0)</x:f>
        <x:v>0</x:v>
      </x:c>
      <x:c r="F15" s="37" t="str">
        <x:f>IF(AND(C15&gt;=0,C15&lt;=1),"PASS","INVALID p_i")</x:f>
        <x:v>PASS</x:v>
      </x:c>
    </x:row>
    <x:row r="16">
      <x:c r="A16" s="25" t="n">
        <x:v>8</x:v>
      </x:c>
      <x:c r="B16" s="36" t="n">
        <x:v>0.8</x:v>
      </x:c>
      <x:c r="C16" s="37" t="n">
        <x:f>IF($B$2="CONSTANT_ALPHA",$B$3,B16)</x:f>
        <x:v>0.8</x:v>
      </x:c>
      <x:c r="D16" s="37" t="n">
        <x:f>D15*C16</x:f>
        <x:v>0.1677721600000001</x:v>
      </x:c>
      <x:c r="E16" s="37" t="n">
        <x:f>IF(A16&lt;=WORKLOAD!B8,D16,0)</x:f>
        <x:v>0</x:v>
      </x:c>
      <x:c r="F16" s="37" t="str">
        <x:f>IF(AND(C16&gt;=0,C16&lt;=1),"PASS","INVALID p_i")</x:f>
        <x:v>PASS</x:v>
      </x:c>
    </x:row>
    <x:row r="17">
      <x:c r="A17" s="25"/>
      <x:c r="B17" s="25"/>
      <x:c r="C17" s="25"/>
      <x:c r="D17" s="25"/>
      <x:c r="E17" s="25"/>
      <x:c r="F17" s="25"/>
    </x:row>
    <x:row r="18">
      <x:c r="A18" s="25"/>
      <x:c r="B18" s="25"/>
      <x:c r="C18" s="25"/>
      <x:c r="D18" s="25"/>
      <x:c r="E18" s="25"/>
      <x:c r="F18" s="25"/>
    </x:row>
    <x:row r="19">
      <x:c r="A19" s="26" t="str">
        <x:v>Derived metric</x:v>
      </x:c>
      <x:c r="B19" s="26" t="str">
        <x:v>Value</x:v>
      </x:c>
      <x:c r="C19" s="26" t="str">
        <x:v>Unit</x:v>
      </x:c>
      <x:c r="D19" s="26" t="str">
        <x:v>Interpretation</x:v>
      </x:c>
      <x:c r="E19" s="25"/>
      <x:c r="F19" s="25"/>
    </x:row>
    <x:row r="20">
      <x:c r="A20" s="25" t="str">
        <x:v>E accepted draft tokens E[A]</x:v>
      </x:c>
      <x:c r="B20" s="37" t="n">
        <x:f>SUM(E9:E16)</x:f>
        <x:v>2.3616000000000006</x:v>
      </x:c>
      <x:c r="C20" s="25" t="str">
        <x:v>tokens/cycle</x:v>
      </x:c>
      <x:c r="D20" s="25" t="str">
        <x:v>sum of accepted-through-position probabilities</x:v>
      </x:c>
      <x:c r="E20" s="25"/>
      <x:c r="F20" s="25"/>
    </x:row>
    <x:row r="21">
      <x:c r="A21" s="25" t="str">
        <x:v>E emitted tokens E[Y]</x:v>
      </x:c>
      <x:c r="B21" s="37" t="n">
        <x:f>IF(B4="ORIGINAL_COMPATIBLE_BONUS",1+B20,0)</x:f>
        <x:v>3.3616000000000006</x:v>
      </x:c>
      <x:c r="C21" s="25" t="str">
        <x:v>tokens/cycle</x:v>
      </x:c>
      <x:c r="D21" s="25" t="str">
        <x:v>1+E[A] only under compatible linear bonus/correction-token semantics</x:v>
      </x:c>
      <x:c r="E21" s="25"/>
      <x:c r="F21" s="25"/>
    </x:row>
    <x:row r="22">
      <x:c r="A22" s="25" t="str">
        <x:v>Rejected draft share</x:v>
      </x:c>
      <x:c r="B22" s="46" t="n">
        <x:f>IF(WORKLOAD!B8&gt;0,(WORKLOAD!B8-B20)/WORKLOAD!B8,0)</x:f>
        <x:v>0.40959999999999985</x:v>
      </x:c>
      <x:c r="C22" s="25" t="str">
        <x:v>ratio</x:v>
      </x:c>
      <x:c r="D22" s="25" t="str">
        <x:v>(k-E[A])/k; not all 'wasted compute'</x:v>
      </x:c>
      <x:c r="E22" s="25"/>
      <x:c r="F22" s="25"/>
    </x:row>
    <x:row r="23">
      <x:c r="A23" s="25" t="str">
        <x:v>Selected acceptance validity</x:v>
      </x:c>
      <x:c r="B23" s="37" t="str">
        <x:f>IF(AND(C2="PASS",C3="PASS",C4="PASS",C5="PASS",F9="PASS",F10="PASS",F11="PASS",F12="PASS",F13="PASS",F14="PASS",F15="PASS",F16="PASS"),"PASS","FAIL / INSUFFICIENT")</x:f>
        <x:v>PASS</x:v>
      </x:c>
      <x:c r="C23" s="25" t="str"/>
      <x:c r="D23" s="25" t="str">
        <x:v>all p_i/alpha and semantics/measurement gates</x:v>
      </x:c>
      <x:c r="E23" s="25"/>
      <x:c r="F23" s="25"/>
    </x:row>
    <x:row r="24">
      <x:c r="A24" s="25"/>
      <x:c r="B24" s="25"/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7" hidden="0" customWidth="1"/>
    <x:col min="5" max="5" width="45" hidden="0" customWidth="1"/>
  </x:cols>
  <x:sheetData>
    <x:row r="1">
      <x:c r="A1" s="13" t="str">
        <x:v>k</x:v>
      </x:c>
      <x:c r="B1" s="13" t="str">
        <x:v>T_d(k) ms</x:v>
      </x:c>
      <x:c r="C1" s="13" t="str">
        <x:v>T_o(k) ms</x:v>
      </x:c>
      <x:c r="D1" s="13" t="str">
        <x:v>Timing state</x:v>
      </x:c>
      <x:c r="E1" s="13" t="str">
        <x:v>Classification</x:v>
      </x:c>
    </x:row>
    <x:row r="2">
      <x:c r="A2" t="n">
        <x:v>1</x:v>
      </x:c>
      <x:c r="B2" s="32" t="n">
        <x:v>2.5</x:v>
      </x:c>
      <x:c r="C2" s="32" t="n">
        <x:v>1</x:v>
      </x:c>
      <x:c r="D2" s="34" t="str">
        <x:f>IF(AND(B2&gt;=0,C2&gt;=0),"PASS","INVALID NEGATIVE TIME")</x:f>
        <x:v>PASS</x:v>
      </x:c>
      <x:c r="E2" t="str">
        <x:v>SCENARIO — replace with measured by k</x:v>
      </x:c>
    </x:row>
    <x:row r="3">
      <x:c r="A3" t="n">
        <x:v>2</x:v>
      </x:c>
      <x:c r="B3" s="32" t="n">
        <x:v>4.5</x:v>
      </x:c>
      <x:c r="C3" s="32" t="n">
        <x:v>1.5</x:v>
      </x:c>
      <x:c r="D3" s="34" t="str">
        <x:f>IF(AND(B3&gt;=0,C3&gt;=0),"PASS","INVALID NEGATIVE TIME")</x:f>
        <x:v>PASS</x:v>
      </x:c>
      <x:c r="E3" t="str">
        <x:v>SCENARIO — replace with measured by k</x:v>
      </x:c>
    </x:row>
    <x:row r="4">
      <x:c r="A4" t="n">
        <x:v>3</x:v>
      </x:c>
      <x:c r="B4" s="32" t="n">
        <x:v>6</x:v>
      </x:c>
      <x:c r="C4" s="32" t="n">
        <x:v>1.8</x:v>
      </x:c>
      <x:c r="D4" s="34" t="str">
        <x:f>IF(AND(B4&gt;=0,C4&gt;=0),"PASS","INVALID NEGATIVE TIME")</x:f>
        <x:v>PASS</x:v>
      </x:c>
      <x:c r="E4" t="str">
        <x:v>SCENARIO — replace with measured by k</x:v>
      </x:c>
    </x:row>
    <x:row r="5">
      <x:c r="A5" t="n">
        <x:v>4</x:v>
      </x:c>
      <x:c r="B5" s="32" t="n">
        <x:v>7.5</x:v>
      </x:c>
      <x:c r="C5" s="32" t="n">
        <x:v>2</x:v>
      </x:c>
      <x:c r="D5" s="34" t="str">
        <x:f>IF(AND(B5&gt;=0,C5&gt;=0),"PASS","INVALID NEGATIVE TIME")</x:f>
        <x:v>PASS</x:v>
      </x:c>
      <x:c r="E5" t="str">
        <x:v>SCENARIO — replace with measured by k</x:v>
      </x:c>
    </x:row>
    <x:row r="6">
      <x:c r="A6" t="n">
        <x:v>5</x:v>
      </x:c>
      <x:c r="B6" s="32" t="n">
        <x:v>9</x:v>
      </x:c>
      <x:c r="C6" s="32" t="n">
        <x:v>2.5</x:v>
      </x:c>
      <x:c r="D6" s="34" t="str">
        <x:f>IF(AND(B6&gt;=0,C6&gt;=0),"PASS","INVALID NEGATIVE TIME")</x:f>
        <x:v>PASS</x:v>
      </x:c>
      <x:c r="E6" t="str">
        <x:v>SCENARIO — replace with measured by k</x:v>
      </x:c>
    </x:row>
    <x:row r="7">
      <x:c r="A7" t="n">
        <x:v>6</x:v>
      </x:c>
      <x:c r="B7" s="32" t="n">
        <x:v>10.5</x:v>
      </x:c>
      <x:c r="C7" s="32" t="n">
        <x:v>3</x:v>
      </x:c>
      <x:c r="D7" s="34" t="str">
        <x:f>IF(AND(B7&gt;=0,C7&gt;=0),"PASS","INVALID NEGATIVE TIME")</x:f>
        <x:v>PASS</x:v>
      </x:c>
      <x:c r="E7" t="str">
        <x:v>SCENARIO — replace with measured by k</x:v>
      </x:c>
    </x:row>
    <x:row r="8">
      <x:c r="A8" t="n">
        <x:v>7</x:v>
      </x:c>
      <x:c r="B8" s="32" t="n">
        <x:v>12</x:v>
      </x:c>
      <x:c r="C8" s="32" t="n">
        <x:v>3.5</x:v>
      </x:c>
      <x:c r="D8" s="34" t="str">
        <x:f>IF(AND(B8&gt;=0,C8&gt;=0),"PASS","INVALID NEGATIVE TIME")</x:f>
        <x:v>PASS</x:v>
      </x:c>
      <x:c r="E8" t="str">
        <x:v>SCENARIO — replace with measured by k</x:v>
      </x:c>
    </x:row>
    <x:row r="9">
      <x:c r="A9" t="n">
        <x:v>8</x:v>
      </x:c>
      <x:c r="B9" s="32" t="n">
        <x:v>14</x:v>
      </x:c>
      <x:c r="C9" s="32" t="n">
        <x:v>4</x:v>
      </x:c>
      <x:c r="D9" s="34" t="str">
        <x:f>IF(AND(B9&gt;=0,C9&gt;=0),"PASS","INVALID NEGATIVE TIME")</x:f>
        <x:v>PASS</x:v>
      </x:c>
      <x:c r="E9" t="str">
        <x:v>SCENARIO — replace with measured by 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7" hidden="0" customWidth="1"/>
    <x:col min="4" max="4" width="55" hidden="0" customWidth="1"/>
  </x:cols>
  <x:sheetData>
    <x:row r="1">
      <x:c r="A1" s="13" t="str">
        <x:v>k</x:v>
      </x:c>
      <x:c r="B1" s="13" t="str">
        <x:v>T_v(k) ms</x:v>
      </x:c>
      <x:c r="C1" s="13" t="str">
        <x:v>Timing state</x:v>
      </x:c>
      <x:c r="D1" s="13" t="str">
        <x:v>Classification</x:v>
      </x:c>
    </x:row>
    <x:row r="2">
      <x:c r="A2" t="n">
        <x:v>1</x:v>
      </x:c>
      <x:c r="B2" s="32" t="n">
        <x:v>21</x:v>
      </x:c>
      <x:c r="C2" s="34" t="str">
        <x:f>IF(B2&gt;=0,"PASS","INVALID NEGATIVE TIME")</x:f>
        <x:v>PASS</x:v>
      </x:c>
      <x:c r="D2" t="str">
        <x:v>SCENARIO — target verification, not assumed one token cost</x:v>
      </x:c>
    </x:row>
    <x:row r="3">
      <x:c r="A3" t="n">
        <x:v>2</x:v>
      </x:c>
      <x:c r="B3" s="32" t="n">
        <x:v>23</x:v>
      </x:c>
      <x:c r="C3" s="34" t="str">
        <x:f>IF(B3&gt;=0,"PASS","INVALID NEGATIVE TIME")</x:f>
        <x:v>PASS</x:v>
      </x:c>
      <x:c r="D3" t="str">
        <x:v>SCENARIO — target verification, not assumed one token cost</x:v>
      </x:c>
    </x:row>
    <x:row r="4">
      <x:c r="A4" t="n">
        <x:v>3</x:v>
      </x:c>
      <x:c r="B4" s="32" t="n">
        <x:v>26</x:v>
      </x:c>
      <x:c r="C4" s="34" t="str">
        <x:f>IF(B4&gt;=0,"PASS","INVALID NEGATIVE TIME")</x:f>
        <x:v>PASS</x:v>
      </x:c>
      <x:c r="D4" t="str">
        <x:v>SCENARIO — target verification, not assumed one token cost</x:v>
      </x:c>
    </x:row>
    <x:row r="5">
      <x:c r="A5" t="n">
        <x:v>4</x:v>
      </x:c>
      <x:c r="B5" s="32" t="n">
        <x:v>28</x:v>
      </x:c>
      <x:c r="C5" s="34" t="str">
        <x:f>IF(B5&gt;=0,"PASS","INVALID NEGATIVE TIME")</x:f>
        <x:v>PASS</x:v>
      </x:c>
      <x:c r="D5" t="str">
        <x:v>SCENARIO — target verification, not assumed one token cost</x:v>
      </x:c>
    </x:row>
    <x:row r="6">
      <x:c r="A6" t="n">
        <x:v>5</x:v>
      </x:c>
      <x:c r="B6" s="32" t="n">
        <x:v>33</x:v>
      </x:c>
      <x:c r="C6" s="34" t="str">
        <x:f>IF(B6&gt;=0,"PASS","INVALID NEGATIVE TIME")</x:f>
        <x:v>PASS</x:v>
      </x:c>
      <x:c r="D6" t="str">
        <x:v>SCENARIO — target verification, not assumed one token cost</x:v>
      </x:c>
    </x:row>
    <x:row r="7">
      <x:c r="A7" t="n">
        <x:v>6</x:v>
      </x:c>
      <x:c r="B7" s="32" t="n">
        <x:v>39</x:v>
      </x:c>
      <x:c r="C7" s="34" t="str">
        <x:f>IF(B7&gt;=0,"PASS","INVALID NEGATIVE TIME")</x:f>
        <x:v>PASS</x:v>
      </x:c>
      <x:c r="D7" t="str">
        <x:v>SCENARIO — target verification, not assumed one token cost</x:v>
      </x:c>
    </x:row>
    <x:row r="8">
      <x:c r="A8" t="n">
        <x:v>7</x:v>
      </x:c>
      <x:c r="B8" s="32" t="n">
        <x:v>46</x:v>
      </x:c>
      <x:c r="C8" s="34" t="str">
        <x:f>IF(B8&gt;=0,"PASS","INVALID NEGATIVE TIME")</x:f>
        <x:v>PASS</x:v>
      </x:c>
      <x:c r="D8" t="str">
        <x:v>SCENARIO — target verification, not assumed one token cost</x:v>
      </x:c>
    </x:row>
    <x:row r="9">
      <x:c r="A9" t="n">
        <x:v>8</x:v>
      </x:c>
      <x:c r="B9" s="32" t="n">
        <x:v>54</x:v>
      </x:c>
      <x:c r="C9" s="34" t="str">
        <x:f>IF(B9&gt;=0,"PASS","INVALID NEGATIVE TIME")</x:f>
        <x:v>PASS</x:v>
      </x:c>
      <x:c r="D9" t="str">
        <x:v>SCENARIO — target verification, not assumed one token cost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6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6" t="str">
        <x:v>Selected-cycle metric</x:v>
      </x:c>
      <x:c r="B1" s="26" t="str">
        <x:v>Value</x:v>
      </x:c>
      <x:c r="C1" s="26" t="str">
        <x:v>Interpretation</x:v>
      </x:c>
      <x:c r="D1" s="25"/>
      <x:c r="E1" s="25"/>
      <x:c r="F1" s="25"/>
      <x:c r="G1" s="25"/>
      <x:c r="H1" s="25"/>
      <x:c r="I1" s="25"/>
      <x:c r="J1" s="25"/>
      <x:c r="K1" s="25"/>
    </x:row>
    <x:row r="2">
      <x:c r="A2" s="25" t="str">
        <x:v>Selected k</x:v>
      </x:c>
      <x:c r="B2" s="37" t="n">
        <x:f>WORKLOAD!B8</x:f>
        <x:v>4</x:v>
      </x:c>
      <x:c r="C2" s="25" t="str">
        <x:v>WORKLOAD input</x:v>
      </x:c>
      <x:c r="D2" s="25"/>
      <x:c r="E2" s="25"/>
      <x:c r="F2" s="25"/>
      <x:c r="G2" s="25"/>
      <x:c r="H2" s="25"/>
      <x:c r="I2" s="25"/>
      <x:c r="J2" s="25"/>
      <x:c r="K2" s="25"/>
    </x:row>
    <x:row r="3">
      <x:c r="A3" s="25" t="str">
        <x:v>E[A]</x:v>
      </x:c>
      <x:c r="B3" s="37" t="n">
        <x:f>ACCEPTANCE!B20</x:f>
        <x:v>2.3616000000000006</x:v>
      </x:c>
      <x:c r="C3" s="25" t="str">
        <x:v>selected-depth accepted draft tokens</x:v>
      </x:c>
      <x:c r="D3" s="25"/>
      <x:c r="E3" s="25"/>
      <x:c r="F3" s="25"/>
      <x:c r="G3" s="25"/>
      <x:c r="H3" s="25"/>
      <x:c r="I3" s="25"/>
      <x:c r="J3" s="25"/>
      <x:c r="K3" s="25"/>
    </x:row>
    <x:row r="4">
      <x:c r="A4" s="25" t="str">
        <x:v>E[Y]</x:v>
      </x:c>
      <x:c r="B4" s="37" t="n">
        <x:f>ACCEPTANCE!B21</x:f>
        <x:v>3.3616000000000006</x:v>
      </x:c>
      <x:c r="C4" s="25" t="str">
        <x:v>selected-depth emitted tokens/cycle</x:v>
      </x:c>
      <x:c r="D4" s="25"/>
      <x:c r="E4" s="25"/>
      <x:c r="F4" s="25"/>
      <x:c r="G4" s="25"/>
      <x:c r="H4" s="25"/>
      <x:c r="I4" s="25"/>
      <x:c r="J4" s="25"/>
      <x:c r="K4" s="25"/>
    </x:row>
    <x:row r="5">
      <x:c r="A5" s="25" t="str">
        <x:v>T_d</x:v>
      </x:c>
      <x:c r="B5" s="37" t="n">
        <x:f>IF(WORKLOAD!B8=1,DRAFT!B2,IF(WORKLOAD!B8=2,DRAFT!B3,IF(WORKLOAD!B8=3,DRAFT!B4,IF(WORKLOAD!B8=4,DRAFT!B5,IF(WORKLOAD!B8=5,DRAFT!B6,IF(WORKLOAD!B8=6,DRAFT!B7,IF(WORKLOAD!B8=7,DRAFT!B8,IF(WORKLOAD!B8=8,DRAFT!B9,0))))))))</x:f>
        <x:v>7.5</x:v>
      </x:c>
      <x:c r="C5" s="25" t="str">
        <x:v>ms</x:v>
      </x:c>
      <x:c r="D5" s="25"/>
      <x:c r="E5" s="25"/>
      <x:c r="F5" s="25"/>
      <x:c r="G5" s="25"/>
      <x:c r="H5" s="25"/>
      <x:c r="I5" s="25"/>
      <x:c r="J5" s="25"/>
      <x:c r="K5" s="25"/>
    </x:row>
    <x:row r="6">
      <x:c r="A6" s="25" t="str">
        <x:v>T_v</x:v>
      </x:c>
      <x:c r="B6" s="37" t="n">
        <x:f>IF(WORKLOAD!B8=1,VERIFY!B2,IF(WORKLOAD!B8=2,VERIFY!B3,IF(WORKLOAD!B8=3,VERIFY!B4,IF(WORKLOAD!B8=4,VERIFY!B5,IF(WORKLOAD!B8=5,VERIFY!B6,IF(WORKLOAD!B8=6,VERIFY!B7,IF(WORKLOAD!B8=7,VERIFY!B8,IF(WORKLOAD!B8=8,VERIFY!B9,0))))))))</x:f>
        <x:v>28</x:v>
      </x:c>
      <x:c r="C6" s="25" t="str">
        <x:v>ms</x:v>
      </x:c>
      <x:c r="D6" s="25"/>
      <x:c r="E6" s="25"/>
      <x:c r="F6" s="25"/>
      <x:c r="G6" s="25"/>
      <x:c r="H6" s="25"/>
      <x:c r="I6" s="25"/>
      <x:c r="J6" s="25"/>
      <x:c r="K6" s="25"/>
    </x:row>
    <x:row r="7">
      <x:c r="A7" s="25" t="str">
        <x:v>T_o</x:v>
      </x:c>
      <x:c r="B7" s="37" t="n">
        <x:f>IF(WORKLOAD!B8=1,DRAFT!C2,IF(WORKLOAD!B8=2,DRAFT!C3,IF(WORKLOAD!B8=3,DRAFT!C4,IF(WORKLOAD!B8=4,DRAFT!C5,IF(WORKLOAD!B8=5,DRAFT!C6,IF(WORKLOAD!B8=6,DRAFT!C7,IF(WORKLOAD!B8=7,DRAFT!C8,IF(WORKLOAD!B8=8,DRAFT!C9,0))))))))</x:f>
        <x:v>2</x:v>
      </x:c>
      <x:c r="C7" s="25" t="str">
        <x:v>ms</x:v>
      </x:c>
      <x:c r="D7" s="25"/>
      <x:c r="E7" s="25"/>
      <x:c r="F7" s="25"/>
      <x:c r="G7" s="25"/>
      <x:c r="H7" s="25"/>
      <x:c r="I7" s="25"/>
      <x:c r="J7" s="25"/>
      <x:c r="K7" s="25"/>
    </x:row>
    <x:row r="8">
      <x:c r="A8" s="25" t="str">
        <x:v>T_cycle</x:v>
      </x:c>
      <x:c r="B8" s="37" t="n">
        <x:f>B5+B6+B7</x:f>
        <x:v>37.5</x:v>
      </x:c>
      <x:c r="C8" s="25" t="str">
        <x:v>T_d+T_v+T_o</x:v>
      </x:c>
      <x:c r="D8" s="25"/>
      <x:c r="E8" s="25"/>
      <x:c r="F8" s="25"/>
      <x:c r="G8" s="25"/>
      <x:c r="H8" s="25"/>
      <x:c r="I8" s="25"/>
      <x:c r="J8" s="25"/>
      <x:c r="K8" s="25"/>
    </x:row>
    <x:row r="9">
      <x:c r="A9" s="25" t="str">
        <x:v>Normalized cycle cost c_k</x:v>
      </x:c>
      <x:c r="B9" s="37" t="n">
        <x:f>IF(WORKLOAD!B7&gt;0,B8/WORKLOAD!B7,0)</x:f>
        <x:v>1.875</x:v>
      </x:c>
      <x:c r="C9" s="25" t="str">
        <x:v>T_cycle/T_t</x:v>
      </x:c>
      <x:c r="D9" s="25"/>
      <x:c r="E9" s="25"/>
      <x:c r="F9" s="25"/>
      <x:c r="G9" s="25"/>
      <x:c r="H9" s="25"/>
      <x:c r="I9" s="25"/>
      <x:c r="J9" s="25"/>
      <x:c r="K9" s="25"/>
    </x:row>
    <x:row r="10">
      <x:c r="A10" s="25" t="str">
        <x:v>Effective ms/output token</x:v>
      </x:c>
      <x:c r="B10" s="37" t="n">
        <x:f>IF(B4&gt;0,B8/B4,0)</x:f>
        <x:v>11.155402189433602</x:v>
      </x:c>
      <x:c r="C10" s="25" t="str">
        <x:v>T_cycle/E[Y]</x:v>
      </x:c>
      <x:c r="D10" s="25"/>
      <x:c r="E10" s="25"/>
      <x:c r="F10" s="25"/>
      <x:c r="G10" s="25"/>
      <x:c r="H10" s="25"/>
      <x:c r="I10" s="25"/>
      <x:c r="J10" s="25"/>
      <x:c r="K10" s="25"/>
    </x:row>
    <x:row r="11">
      <x:c r="A11" s="25" t="str">
        <x:v>Modeled speedup</x:v>
      </x:c>
      <x:c r="B11" s="37" t="n">
        <x:f>IF(B9&gt;0,B4/B9,0)</x:f>
        <x:v>1.7928533333333336</x:v>
      </x:c>
      <x:c r="C11" s="25" t="str">
        <x:v>E[Y]/c_k</x:v>
      </x:c>
      <x:c r="D11" s="25"/>
      <x:c r="E11" s="25"/>
      <x:c r="F11" s="25"/>
      <x:c r="G11" s="25"/>
      <x:c r="H11" s="25"/>
      <x:c r="I11" s="25"/>
      <x:c r="J11" s="25"/>
      <x:c r="K11" s="25"/>
    </x:row>
    <x:row r="12">
      <x:c r="A12" s="25" t="str">
        <x:v>Break-even</x:v>
      </x:c>
      <x:c r="B12" s="37" t="str">
        <x:f>IF(OR(WORKLOAD!B8&lt;=0,WORKLOAD!B8&gt;8),"INVALID k",IF(AND(B4&gt;B9,ACCEPTANCE!B23="PASS"),"PASS","FAIL"))</x:f>
        <x:v>PASS</x:v>
      </x:c>
      <x:c r="C12" s="25" t="str">
        <x:v>PASS when E[Y]&gt;c_k</x:v>
      </x:c>
      <x:c r="D12" s="25"/>
      <x:c r="E12" s="25"/>
      <x:c r="F12" s="25"/>
      <x:c r="G12" s="25"/>
      <x:c r="H12" s="25"/>
      <x:c r="I12" s="25"/>
      <x:c r="J12" s="25"/>
      <x:c r="K12" s="25"/>
    </x:row>
    <x:row r="13">
      <x:c r="A13" s="25" t="str">
        <x:v>k* among tested 1..8</x:v>
      </x:c>
      <x:c r="B13" s="37" t="n">
        <x:f>IF(J17=MAX(J17:J24),1,IF(J18=MAX(J17:J24),2,IF(J19=MAX(J17:J24),3,IF(J20=MAX(J17:J24),4,IF(J21=MAX(J17:J24),5,IF(J22=MAX(J17:J24),6,IF(J23=MAX(J17:J24),7,IF(J24=MAX(J17:J24),8,0))))))))</x:f>
        <x:v>4</x:v>
      </x:c>
      <x:c r="C13" s="25" t="str">
        <x:v>argmax modeled speedup under current acceptance/timing inputs</x:v>
      </x:c>
      <x:c r="D13" s="25"/>
      <x:c r="E13" s="25"/>
      <x:c r="F13" s="25"/>
      <x:c r="G13" s="25"/>
      <x:c r="H13" s="25"/>
      <x:c r="I13" s="25"/>
      <x:c r="J13" s="25"/>
      <x:c r="K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</x:row>
    <x:row r="16">
      <x:c r="A16" s="26" t="str">
        <x:v>k</x:v>
      </x:c>
      <x:c r="B16" s="26" t="str">
        <x:v>E[A]</x:v>
      </x:c>
      <x:c r="C16" s="26" t="str">
        <x:v>E[Y]</x:v>
      </x:c>
      <x:c r="D16" s="26" t="str">
        <x:v>T_d</x:v>
      </x:c>
      <x:c r="E16" s="26" t="str">
        <x:v>T_v</x:v>
      </x:c>
      <x:c r="F16" s="26" t="str">
        <x:v>T_o</x:v>
      </x:c>
      <x:c r="G16" s="26" t="str">
        <x:v>T_cycle</x:v>
      </x:c>
      <x:c r="H16" s="26" t="str">
        <x:v>c_k</x:v>
      </x:c>
      <x:c r="I16" s="26" t="str">
        <x:v>ms/output token</x:v>
      </x:c>
      <x:c r="J16" s="26" t="str">
        <x:v>speedup</x:v>
      </x:c>
      <x:c r="K16" s="26" t="str">
        <x:v>label</x:v>
      </x:c>
    </x:row>
    <x:row r="17">
      <x:c r="A17" s="25" t="n">
        <x:v>1</x:v>
      </x:c>
      <x:c r="B17" s="37" t="n">
        <x:f>SUM(ACCEPTANCE!D9:D9)</x:f>
        <x:v>0.8</x:v>
      </x:c>
      <x:c r="C17" s="37" t="n">
        <x:f>1+B17</x:f>
        <x:v>1.8</x:v>
      </x:c>
      <x:c r="D17" s="37" t="n">
        <x:f>DRAFT!B2</x:f>
        <x:v>2.5</x:v>
      </x:c>
      <x:c r="E17" s="37" t="n">
        <x:f>VERIFY!B2</x:f>
        <x:v>21</x:v>
      </x:c>
      <x:c r="F17" s="37" t="n">
        <x:f>DRAFT!C2</x:f>
        <x:v>1</x:v>
      </x:c>
      <x:c r="G17" s="37" t="n">
        <x:f>D17+E17+F17</x:f>
        <x:v>24.5</x:v>
      </x:c>
      <x:c r="H17" s="37" t="n">
        <x:f>IF(WORKLOAD!B7&gt;0,G17/WORKLOAD!B7,0)</x:f>
        <x:v>1.225</x:v>
      </x:c>
      <x:c r="I17" s="37" t="n">
        <x:f>IF(C17&gt;0,G17/C17,0)</x:f>
        <x:v>13.61111111111111</x:v>
      </x:c>
      <x:c r="J17" s="37" t="n">
        <x:f>IF(H17&gt;0,C17/H17,0)</x:f>
        <x:v>1.4693877551020407</x:v>
      </x:c>
      <x:c r="K17" s="37" t="str">
        <x:f>IF(J17=MAX($J$17:$J$24),"k*","")</x:f>
      </x:c>
    </x:row>
    <x:row r="18">
      <x:c r="A18" s="25" t="n">
        <x:v>2</x:v>
      </x:c>
      <x:c r="B18" s="37" t="n">
        <x:f>SUM(ACCEPTANCE!D9:D10)</x:f>
        <x:v>1.4400000000000002</x:v>
      </x:c>
      <x:c r="C18" s="37" t="n">
        <x:f>1+B18</x:f>
        <x:v>2.4400000000000004</x:v>
      </x:c>
      <x:c r="D18" s="37" t="n">
        <x:f>DRAFT!B3</x:f>
        <x:v>4.5</x:v>
      </x:c>
      <x:c r="E18" s="37" t="n">
        <x:f>VERIFY!B3</x:f>
        <x:v>23</x:v>
      </x:c>
      <x:c r="F18" s="37" t="n">
        <x:f>DRAFT!C3</x:f>
        <x:v>1.5</x:v>
      </x:c>
      <x:c r="G18" s="37" t="n">
        <x:f>D18+E18+F18</x:f>
        <x:v>29</x:v>
      </x:c>
      <x:c r="H18" s="37" t="n">
        <x:f>IF(WORKLOAD!B7&gt;0,G18/WORKLOAD!B7,0)</x:f>
        <x:v>1.45</x:v>
      </x:c>
      <x:c r="I18" s="37" t="n">
        <x:f>IF(C18&gt;0,G18/C18,0)</x:f>
        <x:v>11.885245901639342</x:v>
      </x:c>
      <x:c r="J18" s="37" t="n">
        <x:f>IF(H18&gt;0,C18/H18,0)</x:f>
        <x:v>1.6827586206896554</x:v>
      </x:c>
      <x:c r="K18" s="37" t="str">
        <x:f>IF(J18=MAX($J$17:$J$24),"k*","")</x:f>
      </x:c>
    </x:row>
    <x:row r="19">
      <x:c r="A19" s="25" t="n">
        <x:v>3</x:v>
      </x:c>
      <x:c r="B19" s="37" t="n">
        <x:f>SUM(ACCEPTANCE!D9:D11)</x:f>
        <x:v>1.9520000000000004</x:v>
      </x:c>
      <x:c r="C19" s="37" t="n">
        <x:f>1+B19</x:f>
        <x:v>2.9520000000000004</x:v>
      </x:c>
      <x:c r="D19" s="37" t="n">
        <x:f>DRAFT!B4</x:f>
        <x:v>6</x:v>
      </x:c>
      <x:c r="E19" s="37" t="n">
        <x:f>VERIFY!B4</x:f>
        <x:v>26</x:v>
      </x:c>
      <x:c r="F19" s="37" t="n">
        <x:f>DRAFT!C4</x:f>
        <x:v>1.8</x:v>
      </x:c>
      <x:c r="G19" s="37" t="n">
        <x:f>D19+E19+F19</x:f>
        <x:v>33.8</x:v>
      </x:c>
      <x:c r="H19" s="37" t="n">
        <x:f>IF(WORKLOAD!B7&gt;0,G19/WORKLOAD!B7,0)</x:f>
        <x:v>1.69</x:v>
      </x:c>
      <x:c r="I19" s="37" t="n">
        <x:f>IF(C19&gt;0,G19/C19,0)</x:f>
        <x:v>11.449864498644985</x:v>
      </x:c>
      <x:c r="J19" s="37" t="n">
        <x:f>IF(H19&gt;0,C19/H19,0)</x:f>
        <x:v>1.7467455621301777</x:v>
      </x:c>
      <x:c r="K19" s="37" t="str">
        <x:f>IF(J19=MAX($J$17:$J$24),"k*","")</x:f>
      </x:c>
    </x:row>
    <x:row r="20">
      <x:c r="A20" s="25" t="n">
        <x:v>4</x:v>
      </x:c>
      <x:c r="B20" s="37" t="n">
        <x:f>SUM(ACCEPTANCE!D9:D12)</x:f>
        <x:v>2.3616000000000006</x:v>
      </x:c>
      <x:c r="C20" s="37" t="n">
        <x:f>1+B20</x:f>
        <x:v>3.3616000000000006</x:v>
      </x:c>
      <x:c r="D20" s="37" t="n">
        <x:f>DRAFT!B5</x:f>
        <x:v>7.5</x:v>
      </x:c>
      <x:c r="E20" s="37" t="n">
        <x:f>VERIFY!B5</x:f>
        <x:v>28</x:v>
      </x:c>
      <x:c r="F20" s="37" t="n">
        <x:f>DRAFT!C5</x:f>
        <x:v>2</x:v>
      </x:c>
      <x:c r="G20" s="37" t="n">
        <x:f>D20+E20+F20</x:f>
        <x:v>37.5</x:v>
      </x:c>
      <x:c r="H20" s="37" t="n">
        <x:f>IF(WORKLOAD!B7&gt;0,G20/WORKLOAD!B7,0)</x:f>
        <x:v>1.875</x:v>
      </x:c>
      <x:c r="I20" s="37" t="n">
        <x:f>IF(C20&gt;0,G20/C20,0)</x:f>
        <x:v>11.155402189433602</x:v>
      </x:c>
      <x:c r="J20" s="37" t="n">
        <x:f>IF(H20&gt;0,C20/H20,0)</x:f>
        <x:v>1.7928533333333336</x:v>
      </x:c>
      <x:c r="K20" s="37" t="str">
        <x:f>IF(J20=MAX($J$17:$J$24),"k*","")</x:f>
        <x:v>k*</x:v>
      </x:c>
    </x:row>
    <x:row r="21">
      <x:c r="A21" s="25" t="n">
        <x:v>5</x:v>
      </x:c>
      <x:c r="B21" s="37" t="n">
        <x:f>SUM(ACCEPTANCE!D9:D13)</x:f>
        <x:v>2.6892800000000006</x:v>
      </x:c>
      <x:c r="C21" s="37" t="n">
        <x:f>1+B21</x:f>
        <x:v>3.6892800000000006</x:v>
      </x:c>
      <x:c r="D21" s="37" t="n">
        <x:f>DRAFT!B6</x:f>
        <x:v>9</x:v>
      </x:c>
      <x:c r="E21" s="37" t="n">
        <x:f>VERIFY!B6</x:f>
        <x:v>33</x:v>
      </x:c>
      <x:c r="F21" s="37" t="n">
        <x:f>DRAFT!C6</x:f>
        <x:v>2.5</x:v>
      </x:c>
      <x:c r="G21" s="37" t="n">
        <x:f>D21+E21+F21</x:f>
        <x:v>44.5</x:v>
      </x:c>
      <x:c r="H21" s="37" t="n">
        <x:f>IF(WORKLOAD!B7&gt;0,G21/WORKLOAD!B7,0)</x:f>
        <x:v>2.225</x:v>
      </x:c>
      <x:c r="I21" s="37" t="n">
        <x:f>IF(C21&gt;0,G21/C21,0)</x:f>
        <x:v>12.061974152138085</x:v>
      </x:c>
      <x:c r="J21" s="37" t="n">
        <x:f>IF(H21&gt;0,C21/H21,0)</x:f>
        <x:v>1.658103370786517</x:v>
      </x:c>
      <x:c r="K21" s="37" t="str">
        <x:f>IF(J21=MAX($J$17:$J$24),"k*","")</x:f>
      </x:c>
    </x:row>
    <x:row r="22">
      <x:c r="A22" s="25" t="n">
        <x:v>6</x:v>
      </x:c>
      <x:c r="B22" s="37" t="n">
        <x:f>SUM(ACCEPTANCE!D9:D14)</x:f>
        <x:v>2.9514240000000007</x:v>
      </x:c>
      <x:c r="C22" s="37" t="n">
        <x:f>1+B22</x:f>
        <x:v>3.9514240000000007</x:v>
      </x:c>
      <x:c r="D22" s="37" t="n">
        <x:f>DRAFT!B7</x:f>
        <x:v>10.5</x:v>
      </x:c>
      <x:c r="E22" s="37" t="n">
        <x:f>VERIFY!B7</x:f>
        <x:v>39</x:v>
      </x:c>
      <x:c r="F22" s="37" t="n">
        <x:f>DRAFT!C7</x:f>
        <x:v>3</x:v>
      </x:c>
      <x:c r="G22" s="37" t="n">
        <x:f>D22+E22+F22</x:f>
        <x:v>52.5</x:v>
      </x:c>
      <x:c r="H22" s="37" t="n">
        <x:f>IF(WORKLOAD!B7&gt;0,G22/WORKLOAD!B7,0)</x:f>
        <x:v>2.625</x:v>
      </x:c>
      <x:c r="I22" s="37" t="n">
        <x:f>IF(C22&gt;0,G22/C22,0)</x:f>
        <x:v>13.286349427446913</x:v>
      </x:c>
      <x:c r="J22" s="37" t="n">
        <x:f>IF(H22&gt;0,C22/H22,0)</x:f>
        <x:v>1.5053043809523812</x:v>
      </x:c>
      <x:c r="K22" s="37" t="str">
        <x:f>IF(J22=MAX($J$17:$J$24),"k*","")</x:f>
      </x:c>
    </x:row>
    <x:row r="23">
      <x:c r="A23" s="25" t="n">
        <x:v>7</x:v>
      </x:c>
      <x:c r="B23" s="37" t="n">
        <x:f>SUM(ACCEPTANCE!D9:D15)</x:f>
        <x:v>3.161139200000001</x:v>
      </x:c>
      <x:c r="C23" s="37" t="n">
        <x:f>1+B23</x:f>
        <x:v>4.161139200000001</x:v>
      </x:c>
      <x:c r="D23" s="37" t="n">
        <x:f>DRAFT!B8</x:f>
        <x:v>12</x:v>
      </x:c>
      <x:c r="E23" s="37" t="n">
        <x:f>VERIFY!B8</x:f>
        <x:v>46</x:v>
      </x:c>
      <x:c r="F23" s="37" t="n">
        <x:f>DRAFT!C8</x:f>
        <x:v>3.5</x:v>
      </x:c>
      <x:c r="G23" s="37" t="n">
        <x:f>D23+E23+F23</x:f>
        <x:v>61.5</x:v>
      </x:c>
      <x:c r="H23" s="37" t="n">
        <x:f>IF(WORKLOAD!B7&gt;0,G23/WORKLOAD!B7,0)</x:f>
        <x:v>3.075</x:v>
      </x:c>
      <x:c r="I23" s="37" t="n">
        <x:f>IF(C23&gt;0,G23/C23,0)</x:f>
        <x:v>14.779606507756334</x:v>
      </x:c>
      <x:c r="J23" s="37" t="n">
        <x:f>IF(H23&gt;0,C23/H23,0)</x:f>
        <x:v>1.3532160000000002</x:v>
      </x:c>
      <x:c r="K23" s="37" t="str">
        <x:f>IF(J23=MAX($J$17:$J$24),"k*","")</x:f>
      </x:c>
    </x:row>
    <x:row r="24">
      <x:c r="A24" s="25" t="n">
        <x:v>8</x:v>
      </x:c>
      <x:c r="B24" s="37" t="n">
        <x:f>SUM(ACCEPTANCE!D9:D16)</x:f>
        <x:v>3.328911360000001</x:v>
      </x:c>
      <x:c r="C24" s="37" t="n">
        <x:f>1+B24</x:f>
        <x:v>4.328911360000001</x:v>
      </x:c>
      <x:c r="D24" s="37" t="n">
        <x:f>DRAFT!B9</x:f>
        <x:v>14</x:v>
      </x:c>
      <x:c r="E24" s="37" t="n">
        <x:f>VERIFY!B9</x:f>
        <x:v>54</x:v>
      </x:c>
      <x:c r="F24" s="37" t="n">
        <x:f>DRAFT!C9</x:f>
        <x:v>4</x:v>
      </x:c>
      <x:c r="G24" s="37" t="n">
        <x:f>D24+E24+F24</x:f>
        <x:v>72</x:v>
      </x:c>
      <x:c r="H24" s="37" t="n">
        <x:f>IF(WORKLOAD!B7&gt;0,G24/WORKLOAD!B7,0)</x:f>
        <x:v>3.6</x:v>
      </x:c>
      <x:c r="I24" s="37" t="n">
        <x:f>IF(C24&gt;0,G24/C24,0)</x:f>
        <x:v>16.632357193841912</x:v>
      </x:c>
      <x:c r="J24" s="37" t="n">
        <x:f>IF(H24&gt;0,C24/H24,0)</x:f>
        <x:v>1.2024753777777781</x:v>
      </x:c>
      <x:c r="K24" s="37" t="str">
        <x:f>IF(J24=MAX($J$17:$J$24),"k*","")</x:f>
      </x:c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3" t="str">
        <x:v>Break-even metric</x:v>
      </x:c>
      <x:c r="B1" s="13" t="str">
        <x:v>Value</x:v>
      </x:c>
      <x:c r="C1" s="13" t="str">
        <x:v>Unit</x:v>
      </x:c>
      <x:c r="D1" s="48" t="str">
        <x:v>Interpretation</x:v>
      </x:c>
      <x:c r="E1" s="50"/>
      <x:c r="F1" s="50"/>
    </x:row>
    <x:row r="2">
      <x:c r="A2" t="str">
        <x:v>Selected k</x:v>
      </x:c>
      <x:c r="B2" s="34" t="n">
        <x:f>WORKLOAD!B8</x:f>
        <x:v>4</x:v>
      </x:c>
      <x:c r="C2" t="str">
        <x:v>tokens</x:v>
      </x:c>
      <x:c r="D2" t="str">
        <x:v>from WORKLOAD</x:v>
      </x:c>
    </x:row>
    <x:row r="3">
      <x:c r="A3" t="str">
        <x:v>Selected normalized cycle cost c_k</x:v>
      </x:c>
      <x:c r="B3" s="34" t="n">
        <x:f>CYCLE!B9</x:f>
        <x:v>1.875</x:v>
      </x:c>
      <x:c r="C3" t="str">
        <x:v>ratio</x:v>
      </x:c>
      <x:c r="D3" t="str">
        <x:v>from CYCLE</x:v>
      </x:c>
    </x:row>
    <x:row r="4">
      <x:c r="A4" t="str">
        <x:v>Existence</x:v>
      </x:c>
      <x:c r="B4" s="34" t="str">
        <x:f>IF(B3&lt;=1,"ALPHA*=0",IF(B3&gt;=B2+1,"NO ALPHA &lt;=1","BISECTION"))</x:f>
        <x:v>BISECTION</x:v>
      </x:c>
      <x:c r="C4" t="str"/>
      <x:c r="D4" t="str">
        <x:v>c_k&lt;k+1 required for alpha*&lt;1; c_k&lt;=1 breaks even at alpha≈0+</x:v>
      </x:c>
    </x:row>
    <x:row r="5">
      <x:c r="A5" t="str">
        <x:v>Numerical alpha*</x:v>
      </x:c>
      <x:c r="B5" s="34" t="n">
        <x:f>IF(B4="ALPHA*=0",0,IF(B4="NO ALPHA &lt;=1","",D40))</x:f>
        <x:v>0.4802985223941505</x:v>
      </x:c>
      <x:c r="C5" t="str">
        <x:v>acceptance probability</x:v>
      </x:c>
      <x:c r="D5" t="str">
        <x:v>bisection solving E[Y](alpha,k)=c_k</x:v>
      </x:c>
    </x:row>
    <x:row r="6">
      <x:c r="A6" t="str">
        <x:v>Interpretation</x:v>
      </x:c>
      <x:c r="B6" s="34" t="str">
        <x:f>IF(AND(ISNUMBER(B5),ACCEPTANCE!B3&gt;B5),"ACCEPTANCE ABOVE BREAK-EVEN","ACCEPTANCE NOT ABOVE BREAK-EVEN")</x:f>
        <x:v>ACCEPTANCE ABOVE BREAK-EVEN</x:v>
      </x:c>
      <x:c r="C6" t="str"/>
      <x:c r="D6" t="str">
        <x:v>actual alpha above alpha* required under iid teaching model</x:v>
      </x:c>
    </x:row>
    <x:row r="9">
      <x:c r="A9" s="13" t="str">
        <x:v>iter</x:v>
      </x:c>
      <x:c r="B9" s="13" t="str">
        <x:v>low</x:v>
      </x:c>
      <x:c r="C9" s="13" t="str">
        <x:v>high</x:v>
      </x:c>
      <x:c r="D9" s="13" t="str">
        <x:v>mid</x:v>
      </x:c>
      <x:c r="E9" s="13" t="str">
        <x:v>E[Y](mid,k)</x:v>
      </x:c>
      <x:c r="F9" s="13" t="str">
        <x:v>E[Y]-c_k</x:v>
      </x:c>
    </x:row>
    <x:row r="10">
      <x:c r="A10" t="n">
        <x:v>0</x:v>
      </x:c>
      <x:c r="B10" s="32" t="n">
        <x:v>0</x:v>
      </x:c>
      <x:c r="C10" s="32" t="n">
        <x:v>1</x:v>
      </x:c>
      <x:c r="D10" t="n">
        <x:f>(B10+C10)/2</x:f>
        <x:v>0.5</x:v>
      </x:c>
      <x:c r="E10" t="n">
        <x:f>1+IF($B$2&gt;=1,D10^1,0)+IF($B$2&gt;=2,D10^2,0)+IF($B$2&gt;=3,D10^3,0)+IF($B$2&gt;=4,D10^4,0)+IF($B$2&gt;=5,D10^5,0)+IF($B$2&gt;=6,D10^6,0)+IF($B$2&gt;=7,D10^7,0)+IF($B$2&gt;=8,D10^8,0)</x:f>
        <x:v>1.9375</x:v>
      </x:c>
      <x:c r="F10" t="n">
        <x:f>E10-$B$3</x:f>
        <x:v>0.0625</x:v>
      </x:c>
    </x:row>
    <x:row r="11">
      <x:c r="A11" t="n">
        <x:v>1</x:v>
      </x:c>
      <x:c r="B11" s="34" t="n">
        <x:f>IF(F10&lt;0,D10,B10)</x:f>
        <x:v>0</x:v>
      </x:c>
      <x:c r="C11" s="34" t="n">
        <x:f>IF(F10&gt;=0,D10,C10)</x:f>
        <x:v>0.5</x:v>
      </x:c>
      <x:c r="D11" s="34" t="n">
        <x:f>(B11+C11)/2</x:f>
        <x:v>0.25</x:v>
      </x:c>
      <x:c r="E11" s="34" t="n">
        <x:f>1+IF($B$2&gt;=1,D11^1,0)+IF($B$2&gt;=2,D11^2,0)+IF($B$2&gt;=3,D11^3,0)+IF($B$2&gt;=4,D11^4,0)+IF($B$2&gt;=5,D11^5,0)+IF($B$2&gt;=6,D11^6,0)+IF($B$2&gt;=7,D11^7,0)+IF($B$2&gt;=8,D11^8,0)</x:f>
        <x:v>1.33203125</x:v>
      </x:c>
      <x:c r="F11" s="34" t="n">
        <x:f>E11-$B$3</x:f>
        <x:v>-0.54296875</x:v>
      </x:c>
    </x:row>
    <x:row r="12">
      <x:c r="A12" t="n">
        <x:v>2</x:v>
      </x:c>
      <x:c r="B12" s="34" t="n">
        <x:f>IF(F11&lt;0,D11,B11)</x:f>
        <x:v>0.25</x:v>
      </x:c>
      <x:c r="C12" s="34" t="n">
        <x:f>IF(F11&gt;=0,D11,C11)</x:f>
        <x:v>0.5</x:v>
      </x:c>
      <x:c r="D12" s="34" t="n">
        <x:f>(B12+C12)/2</x:f>
        <x:v>0.375</x:v>
      </x:c>
      <x:c r="E12" s="34" t="n">
        <x:f>1+IF($B$2&gt;=1,D12^1,0)+IF($B$2&gt;=2,D12^2,0)+IF($B$2&gt;=3,D12^3,0)+IF($B$2&gt;=4,D12^4,0)+IF($B$2&gt;=5,D12^5,0)+IF($B$2&gt;=6,D12^6,0)+IF($B$2&gt;=7,D12^7,0)+IF($B$2&gt;=8,D12^8,0)</x:f>
        <x:v>1.588134765625</x:v>
      </x:c>
      <x:c r="F12" s="34" t="n">
        <x:f>E12-$B$3</x:f>
        <x:v>-0.286865234375</x:v>
      </x:c>
    </x:row>
    <x:row r="13">
      <x:c r="A13" t="n">
        <x:v>3</x:v>
      </x:c>
      <x:c r="B13" s="34" t="n">
        <x:f>IF(F12&lt;0,D12,B12)</x:f>
        <x:v>0.375</x:v>
      </x:c>
      <x:c r="C13" s="34" t="n">
        <x:f>IF(F12&gt;=0,D12,C12)</x:f>
        <x:v>0.5</x:v>
      </x:c>
      <x:c r="D13" s="34" t="n">
        <x:f>(B13+C13)/2</x:f>
        <x:v>0.4375</x:v>
      </x:c>
      <x:c r="E13" s="34" t="n">
        <x:f>1+IF($B$2&gt;=1,D13^1,0)+IF($B$2&gt;=2,D13^2,0)+IF($B$2&gt;=3,D13^3,0)+IF($B$2&gt;=4,D13^4,0)+IF($B$2&gt;=5,D13^5,0)+IF($B$2&gt;=6,D13^6,0)+IF($B$2&gt;=7,D13^7,0)+IF($B$2&gt;=8,D13^8,0)</x:f>
        <x:v>1.7492828369140625</x:v>
      </x:c>
      <x:c r="F13" s="34" t="n">
        <x:f>E13-$B$3</x:f>
        <x:v>-0.1257171630859375</x:v>
      </x:c>
    </x:row>
    <x:row r="14">
      <x:c r="A14" t="n">
        <x:v>4</x:v>
      </x:c>
      <x:c r="B14" s="34" t="n">
        <x:f>IF(F13&lt;0,D13,B13)</x:f>
        <x:v>0.4375</x:v>
      </x:c>
      <x:c r="C14" s="34" t="n">
        <x:f>IF(F13&gt;=0,D13,C13)</x:f>
        <x:v>0.5</x:v>
      </x:c>
      <x:c r="D14" s="34" t="n">
        <x:f>(B14+C14)/2</x:f>
        <x:v>0.46875</x:v>
      </x:c>
      <x:c r="E14" s="34" t="n">
        <x:f>1+IF($B$2&gt;=1,D14^1,0)+IF($B$2&gt;=2,D14^2,0)+IF($B$2&gt;=3,D14^3,0)+IF($B$2&gt;=4,D14^4,0)+IF($B$2&gt;=5,D14^5,0)+IF($B$2&gt;=6,D14^6,0)+IF($B$2&gt;=7,D14^7,0)+IF($B$2&gt;=8,D14^8,0)</x:f>
        <x:v>1.8397531509399414</x:v>
      </x:c>
      <x:c r="F14" s="34" t="n">
        <x:f>E14-$B$3</x:f>
        <x:v>-0.035246849060058594</x:v>
      </x:c>
    </x:row>
    <x:row r="15">
      <x:c r="A15" t="n">
        <x:v>5</x:v>
      </x:c>
      <x:c r="B15" s="34" t="n">
        <x:f>IF(F14&lt;0,D14,B14)</x:f>
        <x:v>0.46875</x:v>
      </x:c>
      <x:c r="C15" s="34" t="n">
        <x:f>IF(F14&gt;=0,D14,C14)</x:f>
        <x:v>0.5</x:v>
      </x:c>
      <x:c r="D15" s="34" t="n">
        <x:f>(B15+C15)/2</x:f>
        <x:v>0.484375</x:v>
      </x:c>
      <x:c r="E15" s="34" t="n">
        <x:f>1+IF($B$2&gt;=1,D15^1,0)+IF($B$2&gt;=2,D15^2,0)+IF($B$2&gt;=3,D15^3,0)+IF($B$2&gt;=4,D15^4,0)+IF($B$2&gt;=5,D15^5,0)+IF($B$2&gt;=6,D15^6,0)+IF($B$2&gt;=7,D15^7,0)+IF($B$2&gt;=8,D15^8,0)</x:f>
        <x:v>1.887683928012848</x:v>
      </x:c>
      <x:c r="F15" s="34" t="n">
        <x:f>E15-$B$3</x:f>
        <x:v>0.0126839280128479</x:v>
      </x:c>
    </x:row>
    <x:row r="16">
      <x:c r="A16" t="n">
        <x:v>6</x:v>
      </x:c>
      <x:c r="B16" s="34" t="n">
        <x:f>IF(F15&lt;0,D15,B15)</x:f>
        <x:v>0.46875</x:v>
      </x:c>
      <x:c r="C16" s="34" t="n">
        <x:f>IF(F15&gt;=0,D15,C15)</x:f>
        <x:v>0.484375</x:v>
      </x:c>
      <x:c r="D16" s="34" t="n">
        <x:f>(B16+C16)/2</x:f>
        <x:v>0.4765625</x:v>
      </x:c>
      <x:c r="E16" s="34" t="n">
        <x:f>1+IF($B$2&gt;=1,D16^1,0)+IF($B$2&gt;=2,D16^2,0)+IF($B$2&gt;=3,D16^3,0)+IF($B$2&gt;=4,D16^4,0)+IF($B$2&gt;=5,D16^5,0)+IF($B$2&gt;=6,D16^6,0)+IF($B$2&gt;=7,D16^7,0)+IF($B$2&gt;=8,D16^8,0)</x:f>
        <x:v>1.8634870685636997</x:v>
      </x:c>
      <x:c r="F16" s="34" t="n">
        <x:f>E16-$B$3</x:f>
        <x:v>-0.011512931436300278</x:v>
      </x:c>
    </x:row>
    <x:row r="17">
      <x:c r="A17" t="n">
        <x:v>7</x:v>
      </x:c>
      <x:c r="B17" s="34" t="n">
        <x:f>IF(F16&lt;0,D16,B16)</x:f>
        <x:v>0.4765625</x:v>
      </x:c>
      <x:c r="C17" s="34" t="n">
        <x:f>IF(F16&gt;=0,D16,C16)</x:f>
        <x:v>0.484375</x:v>
      </x:c>
      <x:c r="D17" s="34" t="n">
        <x:f>(B17+C17)/2</x:f>
        <x:v>0.48046875</x:v>
      </x:c>
      <x:c r="E17" s="34" t="n">
        <x:f>1+IF($B$2&gt;=1,D17^1,0)+IF($B$2&gt;=2,D17^2,0)+IF($B$2&gt;=3,D17^3,0)+IF($B$2&gt;=4,D17^4,0)+IF($B$2&gt;=5,D17^5,0)+IF($B$2&gt;=6,D17^6,0)+IF($B$2&gt;=7,D17^7,0)+IF($B$2&gt;=8,D17^8,0)</x:f>
        <x:v>1.8755271101836115</x:v>
      </x:c>
      <x:c r="F17" s="34" t="n">
        <x:f>E17-$B$3</x:f>
        <x:v>0.0005271101836115122</x:v>
      </x:c>
    </x:row>
    <x:row r="18">
      <x:c r="A18" t="n">
        <x:v>8</x:v>
      </x:c>
      <x:c r="B18" s="34" t="n">
        <x:f>IF(F17&lt;0,D17,B17)</x:f>
        <x:v>0.4765625</x:v>
      </x:c>
      <x:c r="C18" s="34" t="n">
        <x:f>IF(F17&gt;=0,D17,C17)</x:f>
        <x:v>0.48046875</x:v>
      </x:c>
      <x:c r="D18" s="34" t="n">
        <x:f>(B18+C18)/2</x:f>
        <x:v>0.478515625</x:v>
      </x:c>
      <x:c r="E18" s="34" t="n">
        <x:f>1+IF($B$2&gt;=1,D18^1,0)+IF($B$2&gt;=2,D18^2,0)+IF($B$2&gt;=3,D18^3,0)+IF($B$2&gt;=4,D18^4,0)+IF($B$2&gt;=5,D18^5,0)+IF($B$2&gt;=6,D18^6,0)+IF($B$2&gt;=7,D18^7,0)+IF($B$2&gt;=8,D18^8,0)</x:f>
        <x:v>1.8694925576128298</x:v>
      </x:c>
      <x:c r="F18" s="34" t="n">
        <x:f>E18-$B$3</x:f>
        <x:v>-0.005507442387170158</x:v>
      </x:c>
    </x:row>
    <x:row r="19">
      <x:c r="A19" t="n">
        <x:v>9</x:v>
      </x:c>
      <x:c r="B19" s="34" t="n">
        <x:f>IF(F18&lt;0,D18,B18)</x:f>
        <x:v>0.478515625</x:v>
      </x:c>
      <x:c r="C19" s="34" t="n">
        <x:f>IF(F18&gt;=0,D18,C18)</x:f>
        <x:v>0.48046875</x:v>
      </x:c>
      <x:c r="D19" s="34" t="n">
        <x:f>(B19+C19)/2</x:f>
        <x:v>0.4794921875</x:v>
      </x:c>
      <x:c r="E19" s="34" t="n">
        <x:f>1+IF($B$2&gt;=1,D19^1,0)+IF($B$2&gt;=2,D19^2,0)+IF($B$2&gt;=3,D19^3,0)+IF($B$2&gt;=4,D19^4,0)+IF($B$2&gt;=5,D19^5,0)+IF($B$2&gt;=6,D19^6,0)+IF($B$2&gt;=7,D19^7,0)+IF($B$2&gt;=8,D19^8,0)</x:f>
        <x:v>1.8725061928134892</x:v>
      </x:c>
      <x:c r="F19" s="34" t="n">
        <x:f>E19-$B$3</x:f>
        <x:v>-0.0024938071865108213</x:v>
      </x:c>
    </x:row>
    <x:row r="20">
      <x:c r="A20" t="n">
        <x:v>10</x:v>
      </x:c>
      <x:c r="B20" s="34" t="n">
        <x:f>IF(F19&lt;0,D19,B19)</x:f>
        <x:v>0.4794921875</x:v>
      </x:c>
      <x:c r="C20" s="34" t="n">
        <x:f>IF(F19&gt;=0,D19,C19)</x:f>
        <x:v>0.48046875</x:v>
      </x:c>
      <x:c r="D20" s="34" t="n">
        <x:f>(B20+C20)/2</x:f>
        <x:v>0.47998046875</x:v>
      </x:c>
      <x:c r="E20" s="34" t="n">
        <x:f>1+IF($B$2&gt;=1,D20^1,0)+IF($B$2&gt;=2,D20^2,0)+IF($B$2&gt;=3,D20^3,0)+IF($B$2&gt;=4,D20^4,0)+IF($B$2&gt;=5,D20^5,0)+IF($B$2&gt;=6,D20^6,0)+IF($B$2&gt;=7,D20^7,0)+IF($B$2&gt;=8,D20^8,0)</x:f>
        <x:v>1.8740157402081081</x:v>
      </x:c>
      <x:c r="F20" s="34" t="n">
        <x:f>E20-$B$3</x:f>
        <x:v>-0.0009842597918918727</x:v>
      </x:c>
    </x:row>
    <x:row r="21">
      <x:c r="A21" t="n">
        <x:v>11</x:v>
      </x:c>
      <x:c r="B21" s="34" t="n">
        <x:f>IF(F20&lt;0,D20,B20)</x:f>
        <x:v>0.47998046875</x:v>
      </x:c>
      <x:c r="C21" s="34" t="n">
        <x:f>IF(F20&gt;=0,D20,C20)</x:f>
        <x:v>0.48046875</x:v>
      </x:c>
      <x:c r="D21" s="34" t="n">
        <x:f>(B21+C21)/2</x:f>
        <x:v>0.480224609375</x:v>
      </x:c>
      <x:c r="E21" s="34" t="n">
        <x:f>1+IF($B$2&gt;=1,D21^1,0)+IF($B$2&gt;=2,D21^2,0)+IF($B$2&gt;=3,D21^3,0)+IF($B$2&gt;=4,D21^4,0)+IF($B$2&gt;=5,D21^5,0)+IF($B$2&gt;=6,D21^6,0)+IF($B$2&gt;=7,D21^7,0)+IF($B$2&gt;=8,D21^8,0)</x:f>
        <x:v>1.8747711972457672</x:v>
      </x:c>
      <x:c r="F21" s="34" t="n">
        <x:f>E21-$B$3</x:f>
        <x:v>-0.00022880275423275975</x:v>
      </x:c>
    </x:row>
    <x:row r="22">
      <x:c r="A22" t="n">
        <x:v>12</x:v>
      </x:c>
      <x:c r="B22" s="34" t="n">
        <x:f>IF(F21&lt;0,D21,B21)</x:f>
        <x:v>0.480224609375</x:v>
      </x:c>
      <x:c r="C22" s="34" t="n">
        <x:f>IF(F21&gt;=0,D21,C21)</x:f>
        <x:v>0.48046875</x:v>
      </x:c>
      <x:c r="D22" s="34" t="n">
        <x:f>(B22+C22)/2</x:f>
        <x:v>0.4803466796875</x:v>
      </x:c>
      <x:c r="E22" s="34" t="n">
        <x:f>1+IF($B$2&gt;=1,D22^1,0)+IF($B$2&gt;=2,D22^2,0)+IF($B$2&gt;=3,D22^3,0)+IF($B$2&gt;=4,D22^4,0)+IF($B$2&gt;=5,D22^5,0)+IF($B$2&gt;=6,D22^6,0)+IF($B$2&gt;=7,D22^7,0)+IF($B$2&gt;=8,D22^8,0)</x:f>
        <x:v>1.8751490967112263</x:v>
      </x:c>
      <x:c r="F22" s="34" t="n">
        <x:f>E22-$B$3</x:f>
        <x:v>0.0001490967112263153</x:v>
      </x:c>
    </x:row>
    <x:row r="23">
      <x:c r="A23" t="n">
        <x:v>13</x:v>
      </x:c>
      <x:c r="B23" s="34" t="n">
        <x:f>IF(F22&lt;0,D22,B22)</x:f>
        <x:v>0.480224609375</x:v>
      </x:c>
      <x:c r="C23" s="34" t="n">
        <x:f>IF(F22&gt;=0,D22,C22)</x:f>
        <x:v>0.4803466796875</x:v>
      </x:c>
      <x:c r="D23" s="34" t="n">
        <x:f>(B23+C23)/2</x:f>
        <x:v>0.48028564453125</x:v>
      </x:c>
      <x:c r="E23" s="34" t="n">
        <x:f>1+IF($B$2&gt;=1,D23^1,0)+IF($B$2&gt;=2,D23^2,0)+IF($B$2&gt;=3,D23^3,0)+IF($B$2&gt;=4,D23^4,0)+IF($B$2&gt;=5,D23^5,0)+IF($B$2&gt;=6,D23^6,0)+IF($B$2&gt;=7,D23^7,0)+IF($B$2&gt;=8,D23^8,0)</x:f>
        <x:v>1.8749601327296237</x:v>
      </x:c>
      <x:c r="F23" s="34" t="n">
        <x:f>E23-$B$3</x:f>
        <x:v>-0.000039867270376303665</x:v>
      </x:c>
    </x:row>
    <x:row r="24">
      <x:c r="A24" t="n">
        <x:v>14</x:v>
      </x:c>
      <x:c r="B24" s="34" t="n">
        <x:f>IF(F23&lt;0,D23,B23)</x:f>
        <x:v>0.48028564453125</x:v>
      </x:c>
      <x:c r="C24" s="34" t="n">
        <x:f>IF(F23&gt;=0,D23,C23)</x:f>
        <x:v>0.4803466796875</x:v>
      </x:c>
      <x:c r="D24" s="34" t="n">
        <x:f>(B24+C24)/2</x:f>
        <x:v>0.480316162109375</x:v>
      </x:c>
      <x:c r="E24" s="34" t="n">
        <x:f>1+IF($B$2&gt;=1,D24^1,0)+IF($B$2&gt;=2,D24^2,0)+IF($B$2&gt;=3,D24^3,0)+IF($B$2&gt;=4,D24^4,0)+IF($B$2&gt;=5,D24^5,0)+IF($B$2&gt;=6,D24^6,0)+IF($B$2&gt;=7,D24^7,0)+IF($B$2&gt;=8,D24^8,0)</x:f>
        <x:v>1.8750546111579576</x:v>
      </x:c>
      <x:c r="F24" s="34" t="n">
        <x:f>E24-$B$3</x:f>
        <x:v>0.00005461115795757365</x:v>
      </x:c>
    </x:row>
    <x:row r="25">
      <x:c r="A25" t="n">
        <x:v>15</x:v>
      </x:c>
      <x:c r="B25" s="34" t="n">
        <x:f>IF(F24&lt;0,D24,B24)</x:f>
        <x:v>0.48028564453125</x:v>
      </x:c>
      <x:c r="C25" s="34" t="n">
        <x:f>IF(F24&gt;=0,D24,C24)</x:f>
        <x:v>0.480316162109375</x:v>
      </x:c>
      <x:c r="D25" s="34" t="n">
        <x:f>(B25+C25)/2</x:f>
        <x:v>0.4803009033203125</x:v>
      </x:c>
      <x:c r="E25" s="34" t="n">
        <x:f>1+IF($B$2&gt;=1,D25^1,0)+IF($B$2&gt;=2,D25^2,0)+IF($B$2&gt;=3,D25^3,0)+IF($B$2&gt;=4,D25^4,0)+IF($B$2&gt;=5,D25^5,0)+IF($B$2&gt;=6,D25^6,0)+IF($B$2&gt;=7,D25^7,0)+IF($B$2&gt;=8,D25^8,0)</x:f>
        <x:v>1.875007371053205</x:v>
      </x:c>
      <x:c r="F25" s="34" t="n">
        <x:f>E25-$B$3</x:f>
        <x:v>0.000007371053204918709</x:v>
      </x:c>
    </x:row>
    <x:row r="26">
      <x:c r="A26" t="n">
        <x:v>16</x:v>
      </x:c>
      <x:c r="B26" s="34" t="n">
        <x:f>IF(F25&lt;0,D25,B25)</x:f>
        <x:v>0.48028564453125</x:v>
      </x:c>
      <x:c r="C26" s="34" t="n">
        <x:f>IF(F25&gt;=0,D25,C25)</x:f>
        <x:v>0.4803009033203125</x:v>
      </x:c>
      <x:c r="D26" s="34" t="n">
        <x:f>(B26+C26)/2</x:f>
        <x:v>0.48029327392578125</x:v>
      </x:c>
      <x:c r="E26" s="34" t="n">
        <x:f>1+IF($B$2&gt;=1,D26^1,0)+IF($B$2&gt;=2,D26^2,0)+IF($B$2&gt;=3,D26^3,0)+IF($B$2&gt;=4,D26^4,0)+IF($B$2&gt;=5,D26^5,0)+IF($B$2&gt;=6,D26^6,0)+IF($B$2&gt;=7,D26^7,0)+IF($B$2&gt;=8,D26^8,0)</x:f>
        <x:v>1.8749837516687717</x:v>
      </x:c>
      <x:c r="F26" s="34" t="n">
        <x:f>E26-$B$3</x:f>
        <x:v>-0.000016248331228263524</x:v>
      </x:c>
    </x:row>
    <x:row r="27">
      <x:c r="A27" t="n">
        <x:v>17</x:v>
      </x:c>
      <x:c r="B27" s="34" t="n">
        <x:f>IF(F26&lt;0,D26,B26)</x:f>
        <x:v>0.48029327392578125</x:v>
      </x:c>
      <x:c r="C27" s="34" t="n">
        <x:f>IF(F26&gt;=0,D26,C26)</x:f>
        <x:v>0.4803009033203125</x:v>
      </x:c>
      <x:c r="D27" s="34" t="n">
        <x:f>(B27+C27)/2</x:f>
        <x:v>0.4802970886230469</x:v>
      </x:c>
      <x:c r="E27" s="34" t="n">
        <x:f>1+IF($B$2&gt;=1,D27^1,0)+IF($B$2&gt;=2,D27^2,0)+IF($B$2&gt;=3,D27^3,0)+IF($B$2&gt;=4,D27^4,0)+IF($B$2&gt;=5,D27^5,0)+IF($B$2&gt;=6,D27^6,0)+IF($B$2&gt;=7,D27^7,0)+IF($B$2&gt;=8,D27^8,0)</x:f>
        <x:v>1.8749955613053273</x:v>
      </x:c>
      <x:c r="F27" s="34" t="n">
        <x:f>E27-$B$3</x:f>
        <x:v>-0.000004438694672703747</x:v>
      </x:c>
    </x:row>
    <x:row r="28">
      <x:c r="A28" t="n">
        <x:v>18</x:v>
      </x:c>
      <x:c r="B28" s="34" t="n">
        <x:f>IF(F27&lt;0,D27,B27)</x:f>
        <x:v>0.4802970886230469</x:v>
      </x:c>
      <x:c r="C28" s="34" t="n">
        <x:f>IF(F27&gt;=0,D27,C27)</x:f>
        <x:v>0.4803009033203125</x:v>
      </x:c>
      <x:c r="D28" s="34" t="n">
        <x:f>(B28+C28)/2</x:f>
        <x:v>0.4802989959716797</x:v>
      </x:c>
      <x:c r="E28" s="34" t="n">
        <x:f>1+IF($B$2&gt;=1,D28^1,0)+IF($B$2&gt;=2,D28^2,0)+IF($B$2&gt;=3,D28^3,0)+IF($B$2&gt;=4,D28^4,0)+IF($B$2&gt;=5,D28^5,0)+IF($B$2&gt;=6,D28^6,0)+IF($B$2&gt;=7,D28^7,0)+IF($B$2&gt;=8,D28^8,0)</x:f>
        <x:v>1.875001466165351</x:v>
      </x:c>
      <x:c r="F28" s="34" t="n">
        <x:f>E28-$B$3</x:f>
        <x:v>0.0000014661653509051575</x:v>
      </x:c>
    </x:row>
    <x:row r="29">
      <x:c r="A29" t="n">
        <x:v>19</x:v>
      </x:c>
      <x:c r="B29" s="34" t="n">
        <x:f>IF(F28&lt;0,D28,B28)</x:f>
        <x:v>0.4802970886230469</x:v>
      </x:c>
      <x:c r="C29" s="34" t="n">
        <x:f>IF(F28&gt;=0,D28,C28)</x:f>
        <x:v>0.4802989959716797</x:v>
      </x:c>
      <x:c r="D29" s="34" t="n">
        <x:f>(B29+C29)/2</x:f>
        <x:v>0.4802980422973633</x:v>
      </x:c>
      <x:c r="E29" s="34" t="n">
        <x:f>1+IF($B$2&gt;=1,D29^1,0)+IF($B$2&gt;=2,D29^2,0)+IF($B$2&gt;=3,D29^3,0)+IF($B$2&gt;=4,D29^4,0)+IF($B$2&gt;=5,D29^5,0)+IF($B$2&gt;=6,D29^6,0)+IF($B$2&gt;=7,D29^7,0)+IF($B$2&gt;=8,D29^8,0)</x:f>
        <x:v>1.87499851373186</x:v>
      </x:c>
      <x:c r="F29" s="34" t="n">
        <x:f>E29-$B$3</x:f>
        <x:v>-0.0000014862681398941646</x:v>
      </x:c>
    </x:row>
    <x:row r="30">
      <x:c r="A30" t="n">
        <x:v>20</x:v>
      </x:c>
      <x:c r="B30" s="34" t="n">
        <x:f>IF(F29&lt;0,D29,B29)</x:f>
        <x:v>0.4802980422973633</x:v>
      </x:c>
      <x:c r="C30" s="34" t="n">
        <x:f>IF(F29&gt;=0,D29,C29)</x:f>
        <x:v>0.4802989959716797</x:v>
      </x:c>
      <x:c r="D30" s="34" t="n">
        <x:f>(B30+C30)/2</x:f>
        <x:v>0.4802985191345215</x:v>
      </x:c>
      <x:c r="E30" s="34" t="n">
        <x:f>1+IF($B$2&gt;=1,D30^1,0)+IF($B$2&gt;=2,D30^2,0)+IF($B$2&gt;=3,D30^3,0)+IF($B$2&gt;=4,D30^4,0)+IF($B$2&gt;=5,D30^5,0)+IF($B$2&gt;=6,D30^6,0)+IF($B$2&gt;=7,D30^7,0)+IF($B$2&gt;=8,D30^8,0)</x:f>
        <x:v>1.8749999899477359</x:v>
      </x:c>
      <x:c r="F30" s="34" t="n">
        <x:f>E30-$B$3</x:f>
        <x:v>-1.005226413219873e-8</x:v>
      </x:c>
    </x:row>
    <x:row r="31">
      <x:c r="A31" t="n">
        <x:v>21</x:v>
      </x:c>
      <x:c r="B31" s="34" t="n">
        <x:f>IF(F30&lt;0,D30,B30)</x:f>
        <x:v>0.4802985191345215</x:v>
      </x:c>
      <x:c r="C31" s="34" t="n">
        <x:f>IF(F30&gt;=0,D30,C30)</x:f>
        <x:v>0.4802989959716797</x:v>
      </x:c>
      <x:c r="D31" s="34" t="n">
        <x:f>(B31+C31)/2</x:f>
        <x:v>0.4802987575531006</x:v>
      </x:c>
      <x:c r="E31" s="34" t="n">
        <x:f>1+IF($B$2&gt;=1,D31^1,0)+IF($B$2&gt;=2,D31^2,0)+IF($B$2&gt;=3,D31^3,0)+IF($B$2&gt;=4,D31^4,0)+IF($B$2&gt;=5,D31^5,0)+IF($B$2&gt;=6,D31^6,0)+IF($B$2&gt;=7,D31^7,0)+IF($B$2&gt;=8,D31^8,0)</x:f>
        <x:v>1.875000728056326</x:v>
      </x:c>
      <x:c r="F31" s="34" t="n">
        <x:f>E31-$B$3</x:f>
        <x:v>7.280563258937889e-7</x:v>
      </x:c>
    </x:row>
    <x:row r="32">
      <x:c r="A32" t="n">
        <x:v>22</x:v>
      </x:c>
      <x:c r="B32" s="34" t="n">
        <x:f>IF(F31&lt;0,D31,B31)</x:f>
        <x:v>0.4802985191345215</x:v>
      </x:c>
      <x:c r="C32" s="34" t="n">
        <x:f>IF(F31&gt;=0,D31,C31)</x:f>
        <x:v>0.4802987575531006</x:v>
      </x:c>
      <x:c r="D32" s="34" t="n">
        <x:f>(B32+C32)/2</x:f>
        <x:v>0.48029863834381104</x:v>
      </x:c>
      <x:c r="E32" s="34" t="n">
        <x:f>1+IF($B$2&gt;=1,D32^1,0)+IF($B$2&gt;=2,D32^2,0)+IF($B$2&gt;=3,D32^3,0)+IF($B$2&gt;=4,D32^4,0)+IF($B$2&gt;=5,D32^5,0)+IF($B$2&gt;=6,D32^6,0)+IF($B$2&gt;=7,D32^7,0)+IF($B$2&gt;=8,D32^8,0)</x:f>
        <x:v>1.8750003590019764</x:v>
      </x:c>
      <x:c r="F32" s="34" t="n">
        <x:f>E32-$B$3</x:f>
        <x:v>3.5900197636884457e-7</x:v>
      </x:c>
    </x:row>
    <x:row r="33">
      <x:c r="A33" t="n">
        <x:v>23</x:v>
      </x:c>
      <x:c r="B33" s="34" t="n">
        <x:f>IF(F32&lt;0,D32,B32)</x:f>
        <x:v>0.4802985191345215</x:v>
      </x:c>
      <x:c r="C33" s="34" t="n">
        <x:f>IF(F32&gt;=0,D32,C32)</x:f>
        <x:v>0.48029863834381104</x:v>
      </x:c>
      <x:c r="D33" s="34" t="n">
        <x:f>(B33+C33)/2</x:f>
        <x:v>0.48029857873916626</x:v>
      </x:c>
      <x:c r="E33" s="34" t="n">
        <x:f>1+IF($B$2&gt;=1,D33^1,0)+IF($B$2&gt;=2,D33^2,0)+IF($B$2&gt;=3,D33^3,0)+IF($B$2&gt;=4,D33^4,0)+IF($B$2&gt;=5,D33^5,0)+IF($B$2&gt;=6,D33^6,0)+IF($B$2&gt;=7,D33^7,0)+IF($B$2&gt;=8,D33^8,0)</x:f>
        <x:v>1.8750001744748426</x:v>
      </x:c>
      <x:c r="F33" s="34" t="n">
        <x:f>E33-$B$3</x:f>
        <x:v>1.7447484257360202e-7</x:v>
      </x:c>
    </x:row>
    <x:row r="34">
      <x:c r="A34" t="n">
        <x:v>24</x:v>
      </x:c>
      <x:c r="B34" s="34" t="n">
        <x:f>IF(F33&lt;0,D33,B33)</x:f>
        <x:v>0.4802985191345215</x:v>
      </x:c>
      <x:c r="C34" s="34" t="n">
        <x:f>IF(F33&gt;=0,D33,C33)</x:f>
        <x:v>0.48029857873916626</x:v>
      </x:c>
      <x:c r="D34" s="34" t="n">
        <x:f>(B34+C34)/2</x:f>
        <x:v>0.48029854893684387</x:v>
      </x:c>
      <x:c r="E34" s="34" t="n">
        <x:f>1+IF($B$2&gt;=1,D34^1,0)+IF($B$2&gt;=2,D34^2,0)+IF($B$2&gt;=3,D34^3,0)+IF($B$2&gt;=4,D34^4,0)+IF($B$2&gt;=5,D34^5,0)+IF($B$2&gt;=6,D34^6,0)+IF($B$2&gt;=7,D34^7,0)+IF($B$2&gt;=8,D34^8,0)</x:f>
        <x:v>1.8750000822112858</x:v>
      </x:c>
      <x:c r="F34" s="34" t="n">
        <x:f>E34-$B$3</x:f>
        <x:v>8.221128577901027e-8</x:v>
      </x:c>
    </x:row>
    <x:row r="35">
      <x:c r="A35" t="n">
        <x:v>25</x:v>
      </x:c>
      <x:c r="B35" s="34" t="n">
        <x:f>IF(F34&lt;0,D34,B34)</x:f>
        <x:v>0.4802985191345215</x:v>
      </x:c>
      <x:c r="C35" s="34" t="n">
        <x:f>IF(F34&gt;=0,D34,C34)</x:f>
        <x:v>0.48029854893684387</x:v>
      </x:c>
      <x:c r="D35" s="34" t="n">
        <x:f>(B35+C35)/2</x:f>
        <x:v>0.4802985340356827</x:v>
      </x:c>
      <x:c r="E35" s="34" t="n">
        <x:f>1+IF($B$2&gt;=1,D35^1,0)+IF($B$2&gt;=2,D35^2,0)+IF($B$2&gt;=3,D35^3,0)+IF($B$2&gt;=4,D35^4,0)+IF($B$2&gt;=5,D35^5,0)+IF($B$2&gt;=6,D35^6,0)+IF($B$2&gt;=7,D35^7,0)+IF($B$2&gt;=8,D35^8,0)</x:f>
        <x:v>1.87500003607951</x:v>
      </x:c>
      <x:c r="F35" s="34" t="n">
        <x:f>E35-$B$3</x:f>
        <x:v>3.607951004624965e-8</x:v>
      </x:c>
    </x:row>
    <x:row r="36">
      <x:c r="A36" t="n">
        <x:v>26</x:v>
      </x:c>
      <x:c r="B36" s="34" t="n">
        <x:f>IF(F35&lt;0,D35,B35)</x:f>
        <x:v>0.4802985191345215</x:v>
      </x:c>
      <x:c r="C36" s="34" t="n">
        <x:f>IF(F35&gt;=0,D35,C35)</x:f>
        <x:v>0.4802985340356827</x:v>
      </x:c>
      <x:c r="D36" s="34" t="n">
        <x:f>(B36+C36)/2</x:f>
        <x:v>0.4802985265851021</x:v>
      </x:c>
      <x:c r="E36" s="34" t="n">
        <x:f>1+IF($B$2&gt;=1,D36^1,0)+IF($B$2&gt;=2,D36^2,0)+IF($B$2&gt;=3,D36^3,0)+IF($B$2&gt;=4,D36^4,0)+IF($B$2&gt;=5,D36^5,0)+IF($B$2&gt;=6,D36^6,0)+IF($B$2&gt;=7,D36^7,0)+IF($B$2&gt;=8,D36^8,0)</x:f>
        <x:v>1.8750000130136226</x:v>
      </x:c>
      <x:c r="F36" s="34" t="n">
        <x:f>E36-$B$3</x:f>
        <x:v>1.3013622623958554e-8</x:v>
      </x:c>
    </x:row>
    <x:row r="37">
      <x:c r="A37" t="n">
        <x:v>27</x:v>
      </x:c>
      <x:c r="B37" s="34" t="n">
        <x:f>IF(F36&lt;0,D36,B36)</x:f>
        <x:v>0.4802985191345215</x:v>
      </x:c>
      <x:c r="C37" s="34" t="n">
        <x:f>IF(F36&gt;=0,D36,C36)</x:f>
        <x:v>0.4802985265851021</x:v>
      </x:c>
      <x:c r="D37" s="34" t="n">
        <x:f>(B37+C37)/2</x:f>
        <x:v>0.4802985228598118</x:v>
      </x:c>
      <x:c r="E37" s="34" t="n">
        <x:f>1+IF($B$2&gt;=1,D37^1,0)+IF($B$2&gt;=2,D37^2,0)+IF($B$2&gt;=3,D37^3,0)+IF($B$2&gt;=4,D37^4,0)+IF($B$2&gt;=5,D37^5,0)+IF($B$2&gt;=6,D37^6,0)+IF($B$2&gt;=7,D37^7,0)+IF($B$2&gt;=8,D37^8,0)</x:f>
        <x:v>1.8750000014806791</x:v>
      </x:c>
      <x:c r="F37" s="34" t="n">
        <x:f>E37-$B$3</x:f>
        <x:v>1.4806791348576098e-9</x:v>
      </x:c>
    </x:row>
    <x:row r="38">
      <x:c r="A38" t="n">
        <x:v>28</x:v>
      </x:c>
      <x:c r="B38" s="34" t="n">
        <x:f>IF(F37&lt;0,D37,B37)</x:f>
        <x:v>0.4802985191345215</x:v>
      </x:c>
      <x:c r="C38" s="34" t="n">
        <x:f>IF(F37&gt;=0,D37,C37)</x:f>
        <x:v>0.4802985228598118</x:v>
      </x:c>
      <x:c r="D38" s="34" t="n">
        <x:f>(B38+C38)/2</x:f>
        <x:v>0.48029852099716663</x:v>
      </x:c>
      <x:c r="E38" s="34" t="n">
        <x:f>1+IF($B$2&gt;=1,D38^1,0)+IF($B$2&gt;=2,D38^2,0)+IF($B$2&gt;=3,D38^3,0)+IF($B$2&gt;=4,D38^4,0)+IF($B$2&gt;=5,D38^5,0)+IF($B$2&gt;=6,D38^6,0)+IF($B$2&gt;=7,D38^7,0)+IF($B$2&gt;=8,D38^8,0)</x:f>
        <x:v>1.8749999957142076</x:v>
      </x:c>
      <x:c r="F38" s="34" t="n">
        <x:f>E38-$B$3</x:f>
        <x:v>-4.285792387648257e-9</x:v>
      </x:c>
    </x:row>
    <x:row r="39">
      <x:c r="A39" t="n">
        <x:v>29</x:v>
      </x:c>
      <x:c r="B39" s="34" t="n">
        <x:f>IF(F38&lt;0,D38,B38)</x:f>
        <x:v>0.48029852099716663</x:v>
      </x:c>
      <x:c r="C39" s="34" t="n">
        <x:f>IF(F38&gt;=0,D38,C38)</x:f>
        <x:v>0.4802985228598118</x:v>
      </x:c>
      <x:c r="D39" s="34" t="n">
        <x:f>(B39+C39)/2</x:f>
        <x:v>0.4802985219284892</x:v>
      </x:c>
      <x:c r="E39" s="34" t="n">
        <x:f>1+IF($B$2&gt;=1,D39^1,0)+IF($B$2&gt;=2,D39^2,0)+IF($B$2&gt;=3,D39^3,0)+IF($B$2&gt;=4,D39^4,0)+IF($B$2&gt;=5,D39^5,0)+IF($B$2&gt;=6,D39^6,0)+IF($B$2&gt;=7,D39^7,0)+IF($B$2&gt;=8,D39^8,0)</x:f>
        <x:v>1.8749999985974433</x:v>
      </x:c>
      <x:c r="F39" s="34" t="n">
        <x:f>E39-$B$3</x:f>
        <x:v>-1.4025567374176262e-9</x:v>
      </x:c>
    </x:row>
    <x:row r="40">
      <x:c r="A40" t="n">
        <x:v>30</x:v>
      </x:c>
      <x:c r="B40" s="34" t="n">
        <x:f>IF(F39&lt;0,D39,B39)</x:f>
        <x:v>0.4802985219284892</x:v>
      </x:c>
      <x:c r="C40" s="34" t="n">
        <x:f>IF(F39&gt;=0,D39,C39)</x:f>
        <x:v>0.4802985228598118</x:v>
      </x:c>
      <x:c r="D40" s="34" t="n">
        <x:f>(B40+C40)/2</x:f>
        <x:v>0.4802985223941505</x:v>
      </x:c>
      <x:c r="E40" s="34" t="n">
        <x:f>1+IF($B$2&gt;=1,D40^1,0)+IF($B$2&gt;=2,D40^2,0)+IF($B$2&gt;=3,D40^3,0)+IF($B$2&gt;=4,D40^4,0)+IF($B$2&gt;=5,D40^5,0)+IF($B$2&gt;=6,D40^6,0)+IF($B$2&gt;=7,D40^7,0)+IF($B$2&gt;=8,D40^8,0)</x:f>
        <x:v>1.8750000000390612</x:v>
      </x:c>
      <x:c r="F40" s="34" t="n">
        <x:f>E40-$B$3</x:f>
        <x:v>3.906119871999181e-11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>
      <x:c r="A1" s="13" t="str">
        <x:v>Mode</x:v>
      </x:c>
      <x:c r="B1" s="13" t="str">
        <x:v>GPU count</x:v>
      </x:c>
      <x:c r="C1" s="13" t="str">
        <x:v>p95 TTFT</x:v>
      </x:c>
      <x:c r="D1" s="13" t="str">
        <x:v>p95 TPOT</x:v>
      </x:c>
      <x:c r="E1" s="13" t="str">
        <x:v>TTFT pass</x:v>
      </x:c>
      <x:c r="F1" s="13" t="str">
        <x:v>TPOT pass</x:v>
      </x:c>
      <x:c r="G1" s="13" t="str">
        <x:v>SLO success</x:v>
      </x:c>
      <x:c r="H1" s="13" t="str">
        <x:v>SLO goodput req/s</x:v>
      </x:c>
      <x:c r="I1" s="13" t="str">
        <x:v>GPU-normalized goodput</x:v>
      </x:c>
    </x:row>
    <x:row r="2">
      <x:c r="A2" t="str">
        <x:v>BASELINE</x:v>
      </x:c>
      <x:c r="B2" s="34" t="n">
        <x:f>WORKLOAD!B5</x:f>
        <x:v>4</x:v>
      </x:c>
      <x:c r="C2" s="34" t="n">
        <x:f>WORKLOAD!B17</x:f>
        <x:v>180</x:v>
      </x:c>
      <x:c r="D2" s="34" t="n">
        <x:f>WORKLOAD!B18</x:f>
        <x:v>24</x:v>
      </x:c>
      <x:c r="E2" s="34" t="str">
        <x:f>IF(AND(C2&gt;0,C2&lt;=WORKLOAD!B15),"PASS","FAIL / MISSING")</x:f>
        <x:v>PASS</x:v>
      </x:c>
      <x:c r="F2" s="34" t="str">
        <x:f>IF(AND(D2&gt;0,D2&lt;=WORKLOAD!B16),"PASS","FAIL / MISSING")</x:f>
        <x:v>FAIL / MISSING</x:v>
      </x:c>
      <x:c r="G2" s="44" t="n">
        <x:f>WORKLOAD!B21</x:f>
        <x:v>0.82</x:v>
      </x:c>
      <x:c r="H2" s="34" t="n">
        <x:f>IF(G2&gt;0,WORKLOAD!B9*G2,0)</x:f>
        <x:v>8.2</x:v>
      </x:c>
      <x:c r="I2" s="34" t="n">
        <x:f>IF(B2&gt;0,H2/B2,0)</x:f>
        <x:v>2.05</x:v>
      </x:c>
    </x:row>
    <x:row r="3">
      <x:c r="A3" t="str">
        <x:v>SPECULATIVE</x:v>
      </x:c>
      <x:c r="B3" s="34" t="n">
        <x:f>WORKLOAD!B5+WORKLOAD!B6</x:f>
        <x:v>4</x:v>
      </x:c>
      <x:c r="C3" s="34" t="n">
        <x:f>WORKLOAD!B19</x:f>
        <x:v>185</x:v>
      </x:c>
      <x:c r="D3" s="34" t="n">
        <x:f>WORKLOAD!B20</x:f>
        <x:v>15</x:v>
      </x:c>
      <x:c r="E3" s="34" t="str">
        <x:f>IF(AND(C3&gt;0,C3&lt;=WORKLOAD!B15),"PASS","FAIL / MISSING")</x:f>
        <x:v>PASS</x:v>
      </x:c>
      <x:c r="F3" s="34" t="str">
        <x:f>IF(AND(D3&gt;0,D3&lt;=WORKLOAD!B16),"PASS","FAIL / MISSING")</x:f>
        <x:v>PASS</x:v>
      </x:c>
      <x:c r="G3" s="44" t="n">
        <x:f>WORKLOAD!B22</x:f>
        <x:v>0.95</x:v>
      </x:c>
      <x:c r="H3" s="34" t="n">
        <x:f>IF(G3&gt;0,WORKLOAD!B9*G3,0)</x:f>
        <x:v>9.5</x:v>
      </x:c>
      <x:c r="I3" s="34" t="n">
        <x:f>IF(B3&gt;0,H3/B3,0)</x:f>
        <x:v>2.375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32" hidden="0" customWidth="1"/>
    <x:col min="3" max="3" width="32" hidden="0" customWidth="1"/>
    <x:col min="4" max="4" width="80" hidden="0" customWidth="1"/>
  </x:cols>
  <x:sheetData>
    <x:row r="1">
      <x:c r="A1" s="26" t="str">
        <x:v>Metric</x:v>
      </x:c>
      <x:c r="B1" s="26" t="str">
        <x:v>Baseline</x:v>
      </x:c>
      <x:c r="C1" s="26" t="str">
        <x:v>Speculative</x:v>
      </x:c>
      <x:c r="D1" s="26" t="str">
        <x:v>Interpretation</x:v>
      </x:c>
    </x:row>
    <x:row r="2">
      <x:c r="A2" s="25" t="str">
        <x:v>GPU count</x:v>
      </x:c>
      <x:c r="B2" s="37" t="n">
        <x:f>SLO!B2</x:f>
        <x:v>4</x:v>
      </x:c>
      <x:c r="C2" s="37" t="n">
        <x:f>SLO!B3</x:f>
        <x:v>4</x:v>
      </x:c>
      <x:c r="D2" s="25" t="str">
        <x:v>same hardware unless extra proposer GPU input &gt;0</x:v>
      </x:c>
    </x:row>
    <x:row r="3">
      <x:c r="A3" s="25" t="str">
        <x:v>Cost/hour</x:v>
      </x:c>
      <x:c r="B3" s="37" t="n">
        <x:f>B2*WORKLOAD!B23</x:f>
        <x:v>16</x:v>
      </x:c>
      <x:c r="C3" s="37" t="n">
        <x:f>C2*WORKLOAD!B23+WORKLOAD!B24</x:f>
        <x:v>16</x:v>
      </x:c>
      <x:c r="D3" s="25" t="str">
        <x:v>GPU cost + extra speculative cost</x:v>
      </x:c>
    </x:row>
    <x:row r="4">
      <x:c r="A4" s="25" t="str">
        <x:v>SLO goodput</x:v>
      </x:c>
      <x:c r="B4" s="37" t="n">
        <x:f>SLO!H2</x:f>
        <x:v>8.2</x:v>
      </x:c>
      <x:c r="C4" s="37" t="n">
        <x:f>SLO!H3</x:f>
        <x:v>9.5</x:v>
      </x:c>
      <x:c r="D4" s="25" t="str">
        <x:v>same traffic/SLO</x:v>
      </x:c>
    </x:row>
    <x:row r="5">
      <x:c r="A5" s="25" t="str">
        <x:v>Cost/SLO request</x:v>
      </x:c>
      <x:c r="B5" s="37" t="n">
        <x:f>IF(B4&gt;0,B3/(3600*B4),0)</x:f>
        <x:v>0.0005420054200542006</x:v>
      </x:c>
      <x:c r="C5" s="37" t="n">
        <x:f>IF(C4&gt;0,C3/(3600*C4),0)</x:f>
        <x:v>0.00046783625730994154</x:v>
      </x:c>
      <x:c r="D5" s="25" t="str">
        <x:v>cost/hour divided by 3600*goodput</x:v>
      </x:c>
    </x:row>
    <x:row r="6">
      <x:c r="A6" s="25" t="str">
        <x:v>Cost/SLO output token</x:v>
      </x:c>
      <x:c r="B6" s="37" t="n">
        <x:f>IF(AND(B4&gt;0,WORKLOAD!B13&gt;0),B3/(3600*B4*WORKLOAD!B13),0)</x:f>
        <x:v>0.0000021172086720867213</x:v>
      </x:c>
      <x:c r="C6" s="37" t="n">
        <x:f>IF(AND(C4&gt;0,WORKLOAD!B13&gt;0),C3/(3600*C4*WORKLOAD!B13),0)</x:f>
        <x:v>0.0000018274853801169591</x:v>
      </x:c>
      <x:c r="D6" s="25" t="str">
        <x:v>uses OSL p50 only for scenario denominator</x:v>
      </x:c>
    </x:row>
    <x:row r="7">
      <x:c r="A7" s="25" t="str">
        <x:v>Draft memory feasibility</x:v>
      </x:c>
      <x:c r="B7" s="37" t="str">
        <x:v>N/A BASELINE</x:v>
      </x:c>
      <x:c r="C7" s="37" t="str">
        <x:f>IF(WORKLOAD!B25&lt;=WORKLOAD!B26,"PASS","FAIL — DRAFT MEMORY EXCEEDS HEADROOM")</x:f>
        <x:v>PASS</x:v>
      </x:c>
      <x:c r="D7" s="25" t="str">
        <x:v>draft extra memory &lt;= available headroom</x:v>
      </x:c>
    </x:row>
    <x:row r="8">
      <x:c r="A8" s="25" t="str">
        <x:v>Extra GPU accounting</x:v>
      </x:c>
      <x:c r="B8" s="37" t="str">
        <x:v>N/A BASELINE</x:v>
      </x:c>
      <x:c r="C8" s="37" t="str">
        <x:f>IF(METHOD!B9="NO","PASS",IF(AND(METHOD!B9="YES",WORKLOAD!B6&gt;0),"PASS","FAIL — EXTRA GPU NOT COUNTED"))</x:f>
        <x:v>PASS</x:v>
      </x:c>
      <x:c r="D8" s="25" t="str">
        <x:v>if METHOD says YES, count must be &gt;0</x:v>
      </x:c>
    </x:row>
    <x:row r="9">
      <x:c r="A9" s="25" t="str">
        <x:v>Measurement/support gate</x:v>
      </x:c>
      <x:c r="B9" s="37" t="str">
        <x:f>IF(AND(WORKLOAD!B7&gt;0,WORKLOAD!B8&gt;0,WORKLOAD!B8&lt;=8,WORKLOAD!B9&gt;0,WORKLOAD!B21&gt;0,WORKLOAD!B22&gt;0,METHOD!D4="PASS",METHOD!D5="PASS",METHOD!D6="PASS",METHOD!D7="PASS",METHOD!D8="PASS",ACCEPTANCE!B23="PASS",CYCLE!B5&gt;=0,CYCLE!B6&gt;=0,CYCLE!B7&gt;=0),"PASS","INSUFFICIENT MEASUREMENT")</x:f>
        <x:v>PASS</x:v>
      </x:c>
      <x:c r="C9" s="37" t="str">
        <x:f>B9</x:f>
        <x:v>PASS</x:v>
      </x:c>
      <x:c r="D9" s="25" t="str">
        <x:v>method+acceptance+timing+baseline time+SLO denominators</x:v>
      </x:c>
    </x:row>
    <x:row r="10">
      <x:c r="A10" s="25" t="str">
        <x:v>Cycle break-even</x:v>
      </x:c>
      <x:c r="B10" s="37" t="str">
        <x:v>N/A BASELINE</x:v>
      </x:c>
      <x:c r="C10" s="37" t="str">
        <x:f>CYCLE!B12</x:f>
        <x:v>PASS</x:v>
      </x:c>
      <x:c r="D10" s="25" t="str">
        <x:v>selected iid teaching model</x:v>
      </x:c>
    </x:row>
    <x:row r="11">
      <x:c r="A11" s="25" t="str">
        <x:v>Recommendation</x:v>
      </x:c>
      <x:c r="B11" s="37" t="str">
        <x:f>IF(C9&lt;&gt;"PASS","INSUFFICIENT MEASUREMENT",IF(OR(C7&lt;&gt;"PASS",C8&lt;&gt;"PASS"),"INSUFFICIENT MEASUREMENT",IF(AND(SLO!E3="PASS",SLO!F3="PASS",C10="PASS",C5&lt;B5),"SPECULATION","STANDARD DECODE")))</x:f>
        <x:v>SPECULATION</x:v>
      </x:c>
      <x:c r="C11" s="37" t="str">
        <x:f>B11</x:f>
        <x:v>SPECULATION</x:v>
      </x:c>
      <x:c r="D11" s="25" t="str">
        <x:v>SPECULATION / STANDARD DECODE / INSUFFICIENT MEASUREMENT</x:v>
      </x:c>
    </x:row>
    <x:row r="12">
      <x:c r="A12" s="25"/>
      <x:c r="B12" s="25"/>
      <x:c r="C12" s="25"/>
      <x:c r="D12" s="25"/>
    </x:row>
    <x:row r="13">
      <x:c r="A13" s="25"/>
      <x:c r="B13" s="25"/>
      <x:c r="C13" s="25"/>
      <x:c r="D13" s="2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3" t="str">
        <x:v>alpha</x:v>
      </x:c>
      <x:c r="B1" s="13" t="str">
        <x:v>E[Y] k=4</x:v>
      </x:c>
      <x:c r="C1" s="13" t="str">
        <x:v>c_k boundary</x:v>
      </x:c>
      <x:c r="D1" s="13" t="str">
        <x:v>Result at primary c4=1.875</x:v>
      </x:c>
      <x:c r="F1" s="13" t="str">
        <x:v>Case</x:v>
      </x:c>
      <x:c r="G1" s="13" t="str">
        <x:v>T_t ms</x:v>
      </x:c>
      <x:c r="H1" s="13" t="str">
        <x:v>alpha</x:v>
      </x:c>
      <x:c r="I1" s="13" t="str">
        <x:v>k</x:v>
      </x:c>
      <x:c r="J1" s="13" t="str">
        <x:v>c_k</x:v>
      </x:c>
      <x:c r="K1" s="13" t="str">
        <x:v>modeled speedup</x:v>
      </x:c>
    </x:row>
    <x:row r="2">
      <x:c r="A2" t="n">
        <x:v>0</x:v>
      </x:c>
      <x:c r="B2" t="n">
        <x:f>1+A2+A2^2+A2^3+A2^4</x:f>
        <x:v>1</x:v>
      </x:c>
      <x:c r="C2" t="n">
        <x:f>B2</x:f>
        <x:v>1</x:v>
      </x:c>
      <x:c r="D2" t="str">
        <x:f>IF(B2&gt;1.875,"SPECULATION","STANDARD DECODE")</x:f>
        <x:v>STANDARD DECODE</x:v>
      </x:c>
      <x:c r="F2" t="str">
        <x:v>PRIMARY LOW/MEDIUM</x:v>
      </x:c>
      <x:c r="G2" t="n">
        <x:v>20</x:v>
      </x:c>
      <x:c r="H2" t="n">
        <x:v>0.8</x:v>
      </x:c>
      <x:c r="I2" t="n">
        <x:v>4</x:v>
      </x:c>
      <x:c r="J2" t="n">
        <x:v>1.875</x:v>
      </x:c>
      <x:c r="K2" t="n">
        <x:v>1.7928533333333334</x:v>
      </x:c>
    </x:row>
    <x:row r="3">
      <x:c r="A3" t="n">
        <x:v>0.2</x:v>
      </x:c>
      <x:c r="B3" t="n">
        <x:f>1+A3+A3^2+A3^3+A3^4</x:f>
        <x:v>1.2496</x:v>
      </x:c>
      <x:c r="C3" t="n">
        <x:f>B3</x:f>
        <x:v>1.2496</x:v>
      </x:c>
      <x:c r="D3" t="str">
        <x:f>IF(B3&gt;1.875,"SPECULATION","STANDARD DECODE")</x:f>
        <x:v>STANDARD DECODE</x:v>
      </x:c>
      <x:c r="F3" t="str">
        <x:v>COUNTER HIGH</x:v>
      </x:c>
      <x:c r="G3" t="n">
        <x:v>9</x:v>
      </x:c>
      <x:c r="H3" t="n">
        <x:v>0.62</x:v>
      </x:c>
      <x:c r="I3" t="n">
        <x:v>4</x:v>
      </x:c>
      <x:c r="J3" t="n">
        <x:v>3.2222222222222223</x:v>
      </x:c>
      <x:c r="K3" t="n">
        <x:v>0.7418766289655172</x:v>
      </x:c>
    </x:row>
    <x:row r="4">
      <x:c r="A4" t="n">
        <x:v>0.4</x:v>
      </x:c>
      <x:c r="B4" t="n">
        <x:f>1+A4+A4^2+A4^3+A4^4</x:f>
        <x:v>1.6496000000000002</x:v>
      </x:c>
      <x:c r="C4" t="n">
        <x:f>B4</x:f>
        <x:v>1.6496000000000002</x:v>
      </x:c>
      <x:c r="D4" t="str">
        <x:f>IF(B4&gt;1.875,"SPECULATION","STANDARD DECODE")</x:f>
        <x:v>STANDARD DECODE</x:v>
      </x:c>
    </x:row>
    <x:row r="5">
      <x:c r="A5" t="n">
        <x:v>0.48</x:v>
      </x:c>
      <x:c r="B5" t="n">
        <x:f>1+A5+A5^2+A5^3+A5^4</x:f>
        <x:v>1.87407616</x:v>
      </x:c>
      <x:c r="C5" t="n">
        <x:f>B5</x:f>
        <x:v>1.87407616</x:v>
      </x:c>
      <x:c r="D5" t="str">
        <x:f>IF(B5&gt;1.875,"SPECULATION","STANDARD DECODE")</x:f>
        <x:v>STANDARD DECODE</x:v>
      </x:c>
    </x:row>
    <x:row r="6">
      <x:c r="A6" t="n">
        <x:v>0.6</x:v>
      </x:c>
      <x:c r="B6" t="n">
        <x:f>1+A6+A6^2+A6^3+A6^4</x:f>
        <x:v>2.3056</x:v>
      </x:c>
      <x:c r="C6" t="n">
        <x:f>B6</x:f>
        <x:v>2.3056</x:v>
      </x:c>
      <x:c r="D6" t="str">
        <x:f>IF(B6&gt;1.875,"SPECULATION","STANDARD DECODE")</x:f>
        <x:v>SPECULATION</x:v>
      </x:c>
    </x:row>
    <x:row r="7">
      <x:c r="A7" t="n">
        <x:v>0.8</x:v>
      </x:c>
      <x:c r="B7" t="n">
        <x:f>1+A7+A7^2+A7^3+A7^4</x:f>
        <x:v>3.3616000000000006</x:v>
      </x:c>
      <x:c r="C7" t="n">
        <x:f>B7</x:f>
        <x:v>3.3616000000000006</x:v>
      </x:c>
      <x:c r="D7" t="str">
        <x:f>IF(B7&gt;1.875,"SPECULATION","STANDARD DECODE")</x:f>
        <x:v>SPECULATION</x:v>
      </x:c>
    </x:row>
    <x:row r="8">
      <x:c r="A8" t="n">
        <x:v>1</x:v>
      </x:c>
      <x:c r="B8" t="n">
        <x:f>1+A8+A8^2+A8^3+A8^4</x:f>
        <x:v>5</x:v>
      </x:c>
      <x:c r="C8" t="n">
        <x:f>B8</x:f>
        <x:v>5</x:v>
      </x:c>
      <x:c r="D8" t="str">
        <x:f>IF(B8&gt;1.875,"SPECULATION","STANDARD DECODE")</x:f>
        <x:v>SPECULATION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44" hidden="0" customWidth="1"/>
    <x:col min="4" max="4" width="80" hidden="0" customWidth="1"/>
    <x:col min="5" max="5" width="24" hidden="0" customWidth="1"/>
    <x:col min="6" max="6" width="16" hidden="0" customWidth="1"/>
    <x:col min="7" max="7" width="65" hidden="0" customWidth="1"/>
    <x:col min="8" max="8" width="65" hidden="0" customWidth="1"/>
  </x:cols>
  <x:sheetData>
    <x:row r="1">
      <x:c r="A1" s="26" t="str">
        <x:v>ID</x:v>
      </x:c>
      <x:c r="B1" s="26" t="str">
        <x:v>Organization</x:v>
      </x:c>
      <x:c r="C1" s="26" t="str">
        <x:v>Document</x:v>
      </x:c>
      <x:c r="D1" s="26" t="str">
        <x:v>URL</x:v>
      </x:c>
      <x:c r="E1" s="26" t="str">
        <x:v>Source type</x:v>
      </x:c>
      <x:c r="F1" s="26" t="str">
        <x:v>Accessed</x:v>
      </x:c>
      <x:c r="G1" s="26" t="str">
        <x:v>Supports</x:v>
      </x:c>
      <x:c r="H1" s="26" t="str">
        <x:v>Limitations</x:v>
      </x:c>
    </x:row>
    <x:row r="2">
      <x:c r="A2" s="25" t="str">
        <x:v>S01</x:v>
      </x:c>
      <x:c r="B2" s="25" t="str">
        <x:v>vLLM</x:v>
      </x:c>
      <x:c r="C2" s="25" t="str">
        <x:v>Speculative Decoding</x:v>
      </x:c>
      <x:c r="D2" s="25" t="str">
        <x:v>https://docs.vllm.ai/en/latest/features/speculative_decoding/</x:v>
      </x:c>
      <x:c r="E2" s="25" t="str">
        <x:v>official docs</x:v>
      </x:c>
      <x:c r="F2" s="25" t="str">
        <x:v>2026-08-10</x:v>
      </x:c>
      <x:c r="G2" s="25" t="str">
        <x:v>Current method categories, workload dependence, lossless/numeric caveat</x:v>
      </x:c>
      <x:c r="H2" s="25" t="str">
        <x:v>Feature behavior/version-specific; no universal speedup.</x:v>
      </x:c>
    </x:row>
    <x:row r="3">
      <x:c r="A3" s="25" t="str">
        <x:v>S02</x:v>
      </x:c>
      <x:c r="B3" s="25" t="str">
        <x:v>vLLM</x:v>
      </x:c>
      <x:c r="C3" s="25" t="str">
        <x:v>Dynamic Speculative Decoding</x:v>
      </x:c>
      <x:c r="D3" s="25" t="str">
        <x:v>https://docs.vllm.ai/en/latest/features/speculative_decoding/dynamic_speculative_decoding/</x:v>
      </x:c>
      <x:c r="E3" s="25" t="str">
        <x:v>official docs</x:v>
      </x:c>
      <x:c r="F3" s="25" t="str">
        <x:v>2026-08-10</x:v>
      </x:c>
      <x:c r="G3" s="25" t="str">
        <x:v>K can decrease/disable as concurrency grows; current limitations</x:v>
      </x:c>
      <x:c r="H3" s="25" t="str">
        <x:v>Dynamic support constrained by proposer/DP mode.</x:v>
      </x:c>
    </x:row>
    <x:row r="4">
      <x:c r="A4" s="25" t="str">
        <x:v>S03</x:v>
      </x:c>
      <x:c r="B4" s="25" t="str">
        <x:v>vLLM</x:v>
      </x:c>
      <x:c r="C4" s="25" t="str">
        <x:v>EAGLE</x:v>
      </x:c>
      <x:c r="D4" s="25" t="str">
        <x:v>https://docs.vllm.ai/en/latest/features/speculative_decoding/eagle/</x:v>
      </x:c>
      <x:c r="E4" s="25" t="str">
        <x:v>official docs</x:v>
      </x:c>
      <x:c r="F4" s="25" t="str">
        <x:v>2026-08-10</x:v>
      </x:c>
      <x:c r="G4" s="25" t="str">
        <x:v>Current EAGLE/EAGLE3 configuration and acceptance metrics</x:v>
      </x:c>
      <x:c r="H4" s="25" t="str">
        <x:v>Model-specific.</x:v>
      </x:c>
    </x:row>
    <x:row r="5">
      <x:c r="A5" s="25" t="str">
        <x:v>S04</x:v>
      </x:c>
      <x:c r="B5" s="25" t="str">
        <x:v>vLLM</x:v>
      </x:c>
      <x:c r="C5" s="25" t="str">
        <x:v>MTP</x:v>
      </x:c>
      <x:c r="D5" s="25" t="str">
        <x:v>https://docs.vllm.ai/en/latest/features/speculative_decoding/mtp/</x:v>
      </x:c>
      <x:c r="E5" s="25" t="str">
        <x:v>official docs</x:v>
      </x:c>
      <x:c r="F5" s="25" t="str">
        <x:v>2026-08-10</x:v>
      </x:c>
      <x:c r="G5" s="25" t="str">
        <x:v>Native MTP path and model-family constraints</x:v>
      </x:c>
      <x:c r="H5" s="25" t="str">
        <x:v>Not every model supports MTP.</x:v>
      </x:c>
    </x:row>
    <x:row r="6">
      <x:c r="A6" s="25" t="str">
        <x:v>S05</x:v>
      </x:c>
      <x:c r="B6" s="25" t="str">
        <x:v>TensorRT-LLM</x:v>
      </x:c>
      <x:c r="C6" s="25" t="str">
        <x:v>LLM Speculative Decoding Example</x:v>
      </x:c>
      <x:c r="D6" s="25" t="str">
        <x:v>https://nvidia.github.io/TensorRT-LLM/examples/llm_speculative_decoding.html</x:v>
      </x:c>
      <x:c r="E6" s="25" t="str">
        <x:v>official docs</x:v>
      </x:c>
      <x:c r="F6" s="25" t="str">
        <x:v>2026-08-10</x:v>
      </x:c>
      <x:c r="G6" s="25" t="str">
        <x:v>Current MTP/EAGLE3/DRAFT_TARGET/NGRAM example support</x:v>
      </x:c>
      <x:c r="H6" s="25" t="str">
        <x:v>Example config is not benchmark evidence.</x:v>
      </x:c>
    </x:row>
    <x:row r="7">
      <x:c r="A7" s="25" t="str">
        <x:v>S06</x:v>
      </x:c>
      <x:c r="B7" s="25" t="str">
        <x:v>TensorRT-LLM</x:v>
      </x:c>
      <x:c r="C7" s="25" t="str">
        <x:v>Speculative decoding API/reference</x:v>
      </x:c>
      <x:c r="D7" s="25" t="str">
        <x:v>https://nvidia.github.io/TensorRT-LLM/</x:v>
      </x:c>
      <x:c r="E7" s="25" t="str">
        <x:v>official docs</x:v>
      </x:c>
      <x:c r="F7" s="25" t="str">
        <x:v>2026-08-10</x:v>
      </x:c>
      <x:c r="G7" s="25" t="str">
        <x:v>Acceptance window/threshold, draft-length schedule, max-concurrency controls</x:v>
      </x:c>
      <x:c r="H7" s="25" t="str">
        <x:v>API/version-specific.</x:v>
      </x:c>
    </x:row>
    <x:row r="8">
      <x:c r="A8" s="25" t="str">
        <x:v>S07</x:v>
      </x:c>
      <x:c r="B8" s="25" t="str">
        <x:v>SGLang</x:v>
      </x:c>
      <x:c r="C8" s="25" t="str">
        <x:v>Speculative Decoding</x:v>
      </x:c>
      <x:c r="D8" s="25" t="str">
        <x:v>https://github.com/sgl-project/sglang/blob/main/docs_new/docs/advanced_features/speculative_decoding.mdx</x:v>
      </x:c>
      <x:c r="E8" s="25" t="str">
        <x:v>official project docs</x:v>
      </x:c>
      <x:c r="F8" s="25" t="str">
        <x:v>2026-08-10</x:v>
      </x:c>
      <x:c r="G8" s="25" t="str">
        <x:v>Current EAGLE/MTP/DFLASH/draft/NGRAM methods; V2/adaptive behavior</x:v>
      </x:c>
      <x:c r="H8" s="25" t="str">
        <x:v>Method support/version-specific.</x:v>
      </x:c>
    </x:row>
    <x:row r="9">
      <x:c r="A9" s="25" t="str">
        <x:v>S08</x:v>
      </x:c>
      <x:c r="B9" s="25" t="str">
        <x:v>SGLang</x:v>
      </x:c>
      <x:c r="C9" s="25" t="str">
        <x:v>Serving benchmark tooling</x:v>
      </x:c>
      <x:c r="D9" s="25" t="str">
        <x:v>https://docs.sglang.ai/advanced_features/benchmark_and_profiling.html</x:v>
      </x:c>
      <x:c r="E9" s="25" t="str">
        <x:v>official docs</x:v>
      </x:c>
      <x:c r="F9" s="25" t="str">
        <x:v>2026-08-10</x:v>
      </x:c>
      <x:c r="G9" s="25" t="str">
        <x:v>Request-rate/concurrency, TTFT/ITL/TPOT measurement</x:v>
      </x:c>
      <x:c r="H9" s="25" t="str">
        <x:v>Buyer must run representative workload.</x:v>
      </x:c>
    </x:row>
    <x:row r="10">
      <x:c r="A10" s="25" t="str">
        <x:v>S09</x:v>
      </x:c>
      <x:c r="B10" s="25" t="str">
        <x:v>Leviathan, Kalman, Matias</x:v>
      </x:c>
      <x:c r="C10" s="25" t="str">
        <x:v>Fast Inference from Transformers via Speculative Decoding</x:v>
      </x:c>
      <x:c r="D10" s="25" t="str">
        <x:v>https://proceedings.mlr.press/v202/leviathan23a.html</x:v>
      </x:c>
      <x:c r="E10" s="25" t="str">
        <x:v>peer-reviewed primary paper</x:v>
      </x:c>
      <x:c r="F10" s="25" t="str">
        <x:v>2026-08-10</x:v>
      </x:c>
      <x:c r="G10" s="25" t="str">
        <x:v>Distribution-preserving algorithm; E[Y] and special-case walltime theorem</x:v>
      </x:c>
      <x:c r="H10" s="25" t="str">
        <x:v>Simplified cost/acceptance assumptions; not a modern runtime benchmark.</x:v>
      </x:c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</x:sheetData>
  <x:pageMargins left="0.7" right="0.7" top="0.75" bottom="0.75" header="0.3" footer="0.3"/>
</x:worksheet>
</file>