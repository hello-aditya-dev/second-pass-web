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ce09c6f7b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7c3251fbce458d"/>
    <x:sheet xmlns:r="http://schemas.openxmlformats.org/officeDocument/2006/relationships" name="HARDWARE" sheetId="2" r:id="Rdd22daf424694119"/>
    <x:sheet xmlns:r="http://schemas.openxmlformats.org/officeDocument/2006/relationships" name="WORKLOAD" sheetId="3" r:id="Rf4ac133f8d04431a"/>
    <x:sheet xmlns:r="http://schemas.openxmlformats.org/officeDocument/2006/relationships" name="COLLECTIVES" sheetId="4" r:id="Raf621cbb17ae4946"/>
    <x:sheet xmlns:r="http://schemas.openxmlformats.org/officeDocument/2006/relationships" name="LATENCY" sheetId="5" r:id="R4fd3a2c37d854318"/>
    <x:sheet xmlns:r="http://schemas.openxmlformats.org/officeDocument/2006/relationships" name="FABRIC" sheetId="6" r:id="R45bfbde48d8b4ea1"/>
    <x:sheet xmlns:r="http://schemas.openxmlformats.org/officeDocument/2006/relationships" name="OVERLAP" sheetId="7" r:id="Rf8ae78a3f4fe44df"/>
    <x:sheet xmlns:r="http://schemas.openxmlformats.org/officeDocument/2006/relationships" name="CAPACITY" sheetId="8" r:id="Re6fc6cd59c844a49"/>
    <x:sheet xmlns:r="http://schemas.openxmlformats.org/officeDocument/2006/relationships" name="ECONOMICS" sheetId="9" r:id="R93b672303b794caf"/>
    <x:sheet xmlns:r="http://schemas.openxmlformats.org/officeDocument/2006/relationships" name="SENSITIVITY" sheetId="10" r:id="R535272f1731442ac"/>
    <x:sheet xmlns:r="http://schemas.openxmlformats.org/officeDocument/2006/relationships" name="SOURCES" sheetId="11" r:id="R638b7dd52f91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  <x:font>
      <x:b/>
      <x:sz val="11"/>
      <x:color rgb="FF11110F"/>
      <x:name val="Carlito"/>
    </x:font>
    <x:font>
      <x:sz val="11"/>
      <x:color rgb="FF1111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cf3378c0f43a9" /><Relationship Type="http://schemas.openxmlformats.org/officeDocument/2006/relationships/theme" Target="/xl/theme/theme1.xml" Id="R091320356c1e460e" /><Relationship Type="http://schemas.openxmlformats.org/officeDocument/2006/relationships/sharedStrings" Target="/xl/sharedStrings.xml" Id="R85811ee65e38450e" /><Relationship Type="http://schemas.openxmlformats.org/officeDocument/2006/relationships/worksheet" Target="/xl/worksheets/sheet1.xml" Id="R277c3251fbce458d" /><Relationship Type="http://schemas.openxmlformats.org/officeDocument/2006/relationships/worksheet" Target="/xl/worksheets/sheet2.xml" Id="Rdd22daf424694119" /><Relationship Type="http://schemas.openxmlformats.org/officeDocument/2006/relationships/worksheet" Target="/xl/worksheets/sheet3.xml" Id="Rf4ac133f8d04431a" /><Relationship Type="http://schemas.openxmlformats.org/officeDocument/2006/relationships/worksheet" Target="/xl/worksheets/sheet4.xml" Id="Raf621cbb17ae4946" /><Relationship Type="http://schemas.openxmlformats.org/officeDocument/2006/relationships/worksheet" Target="/xl/worksheets/sheet5.xml" Id="R4fd3a2c37d854318" /><Relationship Type="http://schemas.openxmlformats.org/officeDocument/2006/relationships/worksheet" Target="/xl/worksheets/sheet6.xml" Id="R45bfbde48d8b4ea1" /><Relationship Type="http://schemas.openxmlformats.org/officeDocument/2006/relationships/worksheet" Target="/xl/worksheets/sheet7.xml" Id="Rf8ae78a3f4fe44df" /><Relationship Type="http://schemas.openxmlformats.org/officeDocument/2006/relationships/worksheet" Target="/xl/worksheets/sheet8.xml" Id="Re6fc6cd59c844a49" /><Relationship Type="http://schemas.openxmlformats.org/officeDocument/2006/relationships/worksheet" Target="/xl/worksheets/sheet9.xml" Id="R93b672303b794caf" /><Relationship Type="http://schemas.openxmlformats.org/officeDocument/2006/relationships/worksheet" Target="/xl/worksheets/sheet10.xml" Id="R535272f1731442ac" /><Relationship Type="http://schemas.openxmlformats.org/officeDocument/2006/relationships/worksheet" Target="/xl/worksheets/sheet11.xml" Id="R638b7dd52f91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>
      <x:c r="A1" s="16" t="str">
        <x:v>SECOND / PASS — AI Cluster Network Capacity Model</x:v>
      </x:c>
      <x:c r="B1" s="17"/>
    </x:row>
    <x:row r="2">
      <x:c r="A2" s="17"/>
      <x:c r="B2" s="17"/>
    </x:row>
    <x:row r="3">
      <x:c r="A3" s="8" t="str">
        <x:v>Formula-driven procurement screening model for scale-out AI communication. It distinguishes bits/bytes, line rate/effective payload, endpoint/fabric capacity, scale-up/scale-out, latency/bandwidth, overlap and GPU-equivalent exposed capacity. Analytical ring equations do NOT mean NCCL will select ring. Replace scenario inputs with measured traces where available.</x:v>
      </x:c>
      <x:c r="B3" s="17"/>
    </x:row>
    <x:row r="4">
      <x:c r="A4" s="17"/>
      <x:c r="B4" s="17"/>
    </x:row>
    <x:row r="5">
      <x:c r="A5" s="17"/>
      <x:c r="B5" s="17"/>
    </x:row>
    <x:row r="6">
      <x:c r="A6" s="17"/>
      <x:c r="B6" s="17"/>
    </x:row>
    <x:row r="7">
      <x:c r="A7" s="18" t="str">
        <x:v>Sheet</x:v>
      </x:c>
      <x:c r="B7" s="18" t="str">
        <x:v>Purpose</x:v>
      </x:c>
    </x:row>
    <x:row r="8">
      <x:c r="A8" s="17" t="str">
        <x:v>HARDWARE</x:v>
      </x:c>
      <x:c r="B8" s="17" t="str">
        <x:v>GPU/NIC topology, line rate, network efficiency, fabric capacity and measurement inputs</x:v>
      </x:c>
    </x:row>
    <x:row r="9">
      <x:c r="A9" s="17" t="str">
        <x:v>WORKLOAD</x:v>
      </x:c>
      <x:c r="B9" s="17" t="str">
        <x:v>Collective, group size, tensor bytes, compute/deadline/latency/overlap and crossing fraction</x:v>
      </x:c>
    </x:row>
    <x:row r="10">
      <x:c r="A10" s="17" t="str">
        <x:v>COLLECTIVES</x:v>
      </x:c>
      <x:c r="B10" s="17" t="str">
        <x:v>Analytical collective payload volume and selected-operation warning</x:v>
      </x:c>
    </x:row>
    <x:row r="11">
      <x:c r="A11" s="17" t="str">
        <x:v>LATENCY</x:v>
      </x:c>
      <x:c r="B11" s="17" t="str">
        <x:v>Ring latency-bandwidth model, deadline feasibility and required effective/raw bandwidth</x:v>
      </x:c>
    </x:row>
    <x:row r="12">
      <x:c r="A12" s="17" t="str">
        <x:v>FABRIC</x:v>
      </x:c>
      <x:c r="B12" s="17" t="str">
        <x:v>Endpoint injection, downlink/uplink/bisection capacity and oversubscription</x:v>
      </x:c>
    </x:row>
    <x:row r="13">
      <x:c r="A13" s="17" t="str">
        <x:v>OVERLAP</x:v>
      </x:c>
      <x:c r="B13" s="17" t="str">
        <x:v>Measured/analytical communication time, overlap validity, exposed communication share</x:v>
      </x:c>
    </x:row>
    <x:row r="14">
      <x:c r="A14" s="17" t="str">
        <x:v>CAPACITY</x:v>
      </x:c>
      <x:c r="B14" s="17" t="str">
        <x:v>GPU-equivalent exposed capacity and GPU-hour equivalent</x:v>
      </x:c>
    </x:row>
    <x:row r="15">
      <x:c r="A15" s="17" t="str">
        <x:v>ECONOMICS</x:v>
      </x:c>
      <x:c r="B15" s="17" t="str">
        <x:v>Optional GPU-hour cost and recovered-capacity screen</x:v>
      </x:c>
    </x:row>
    <x:row r="16">
      <x:c r="A16" s="17" t="str">
        <x:v>SENSITIVITY</x:v>
      </x:c>
      <x:c r="B16" s="17" t="str">
        <x:v>Network efficiency and deadline sensitivity</x:v>
      </x:c>
    </x:row>
    <x:row r="17">
      <x:c r="A17" s="17" t="str">
        <x:v>SOURCES</x:v>
      </x:c>
      <x:c r="B17" s="17" t="str">
        <x:v>Primary/official sources and limitations</x:v>
      </x:c>
    </x:row>
    <x:row r="18">
      <x:c r="A18" s="17" t="str">
        <x:v>Critical warnings</x:v>
      </x:c>
      <x:c r="B18" s="17" t="str">
        <x:v>BITS VS BYTES · LINE RATE ≠ PAYLOAD BANDWIDTH · AGGREGATE ≠ PER GPU · SCALE-UP ≠ SCALE-OUT</x:v>
      </x:c>
    </x:row>
    <x:row r="19">
      <x:c r="A19" s="17"/>
      <x:c r="B19" s="17"/>
    </x:row>
    <x:row r="20">
      <x:c r="A20" s="17"/>
      <x:c r="B20" s="17"/>
    </x:row>
    <x:row r="21">
      <x:c r="A21" s="44" t="str">
        <x:v>MANDATORY WARNING</x:v>
      </x:c>
      <x:c r="B21" s="50" t="str">
        <x:v>BITS VS BYTES — 1 byte = 8 bits; 800 Gb/s = 100 GB/s raw conversion.</x:v>
      </x:c>
    </x:row>
    <x:row r="22">
      <x:c r="A22" s="44" t="str">
        <x:v>MANDATORY WARNING</x:v>
      </x:c>
      <x:c r="B22" s="50" t="str">
        <x:v>LINE RATE ≠ PAYLOAD BANDWIDTH — use measured effective bandwidth where available.</x:v>
      </x:c>
    </x:row>
    <x:row r="23">
      <x:c r="A23" s="45" t="str">
        <x:v>MANDATORY WARNING</x:v>
      </x:c>
      <x:c r="B23" s="50" t="str">
        <x:v>AGGREGATE ≠ PER GPU — endpoint sums and per-GPU rates are separate quantities.</x:v>
      </x:c>
    </x:row>
    <x:row r="24">
      <x:c r="A24" s="45" t="str">
        <x:v>MANDATORY WARNING</x:v>
      </x:c>
      <x:c r="B24" s="50" t="str">
        <x:v>SCALE-UP ≠ SCALE-OUT — NVLink and Ethernet/InfiniBand solve different boundaries.</x:v>
      </x:c>
    </x:row>
    <x:row r="25">
      <x:c r="A25" s="45" t="str">
        <x:v>MANDATORY WARNING</x:v>
      </x:c>
      <x:c r="B25" s="50" t="str">
        <x:v>RING MODEL ≠ NCCL ALGORITHM GUARANTEE — NCCL can select algorithms/topologies dynamically.</x:v>
      </x:c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2" hidden="0" customWidth="1"/>
    <x:col min="4" max="4" width="18" hidden="0" customWidth="1"/>
    <x:col min="5" max="5" width="76" hidden="0" customWidth="1"/>
  </x:cols>
  <x:sheetData>
    <x:row r="1">
      <x:c r="A1" s="18" t="str">
        <x:v>Hardware input</x:v>
      </x:c>
      <x:c r="B1" s="18" t="str">
        <x:v>Value</x:v>
      </x:c>
      <x:c r="C1" s="18" t="str">
        <x:v>Unit</x:v>
      </x:c>
      <x:c r="D1" s="18" t="str">
        <x:v>Type</x:v>
      </x:c>
      <x:c r="E1" s="18" t="str">
        <x:v>Safety / note</x:v>
      </x:c>
    </x:row>
    <x:row r="2">
      <x:c r="A2" s="17" t="str">
        <x:v>GPU count</x:v>
      </x:c>
      <x:c r="B2" s="26" t="n">
        <x:v>64</x:v>
      </x:c>
      <x:c r="C2" s="17" t="str">
        <x:v>GPUs</x:v>
      </x:c>
      <x:c r="D2" s="17" t="str">
        <x:v>USER INPUT</x:v>
      </x:c>
      <x:c r="E2" s="17" t="str">
        <x:v>Total participating/owned GPUs for capacity outputs</x:v>
      </x:c>
    </x:row>
    <x:row r="3">
      <x:c r="A3" s="17" t="str">
        <x:v>GPUs per node</x:v>
      </x:c>
      <x:c r="B3" s="26" t="n">
        <x:v>8</x:v>
      </x:c>
      <x:c r="C3" s="17" t="str">
        <x:v>GPUs/node</x:v>
      </x:c>
      <x:c r="D3" s="17" t="str">
        <x:v>USER INPUT</x:v>
      </x:c>
      <x:c r="E3" s="17" t="str">
        <x:v>HGX-style default scenario</x:v>
      </x:c>
    </x:row>
    <x:row r="4">
      <x:c r="A4" s="17" t="str">
        <x:v>GPUs per scale-up domain</x:v>
      </x:c>
      <x:c r="B4" s="26" t="n">
        <x:v>8</x:v>
      </x:c>
      <x:c r="C4" s="17" t="str">
        <x:v>GPUs/domain</x:v>
      </x:c>
      <x:c r="D4" s="17" t="str">
        <x:v>USER INPUT</x:v>
      </x:c>
      <x:c r="E4" s="17" t="str">
        <x:v>Default worked case; GB300 rack can be 72</x:v>
      </x:c>
    </x:row>
    <x:row r="5">
      <x:c r="A5" s="17" t="str">
        <x:v>NICs per GPU</x:v>
      </x:c>
      <x:c r="B5" s="26" t="n">
        <x:v>1</x:v>
      </x:c>
      <x:c r="C5" s="17" t="str">
        <x:v>NIC/GPU</x:v>
      </x:c>
      <x:c r="D5" s="17" t="str">
        <x:v>USER INPUT</x:v>
      </x:c>
      <x:c r="E5" s="17" t="str">
        <x:v>Current HGX B300 / GB300 RA uses 1:1 GPU:ConnectX-8 endpoint mapping</x:v>
      </x:c>
    </x:row>
    <x:row r="6">
      <x:c r="A6" s="17" t="str">
        <x:v>NIC line rate</x:v>
      </x:c>
      <x:c r="B6" s="26" t="n">
        <x:v>800</x:v>
      </x:c>
      <x:c r="C6" s="17" t="str">
        <x:v>Gb/s/NIC</x:v>
      </x:c>
      <x:c r="D6" s="17" t="str">
        <x:v>FACT/USER</x:v>
      </x:c>
      <x:c r="E6" s="17" t="str">
        <x:v>ConnectX-8 up to 800 Gb/s; raw line rate</x:v>
      </x:c>
    </x:row>
    <x:row r="7">
      <x:c r="A7" s="17" t="str">
        <x:v>Ports per NIC</x:v>
      </x:c>
      <x:c r="B7" s="26" t="n">
        <x:v>2</x:v>
      </x:c>
      <x:c r="C7" s="17" t="str">
        <x:v>ports</x:v>
      </x:c>
      <x:c r="D7" s="17" t="str">
        <x:v>FACT/USER</x:v>
      </x:c>
      <x:c r="E7" s="17" t="str">
        <x:v>Ethernet breakout can be 2×400 Gb/s</x:v>
      </x:c>
    </x:row>
    <x:row r="8">
      <x:c r="A8" s="17" t="str">
        <x:v>Network efficiency</x:v>
      </x:c>
      <x:c r="B8" s="27" t="n">
        <x:v>0.8</x:v>
      </x:c>
      <x:c r="C8" s="17" t="str">
        <x:v>ratio</x:v>
      </x:c>
      <x:c r="D8" s="17" t="str">
        <x:v>SCENARIO</x:v>
      </x:c>
      <x:c r="E8" s="17" t="str">
        <x:v>Not typical; converts raw line ceiling to scenario effective payload bandwidth</x:v>
      </x:c>
    </x:row>
    <x:row r="9">
      <x:c r="A9" s="17" t="str">
        <x:v>Measured effective bandwidth</x:v>
      </x:c>
      <x:c r="B9" s="26" t="n">
        <x:v>0</x:v>
      </x:c>
      <x:c r="C9" s="17" t="str">
        <x:v>GB/s per GPU</x:v>
      </x:c>
      <x:c r="D9" s="17" t="str">
        <x:v>OPTIONAL</x:v>
      </x:c>
      <x:c r="E9" s="17" t="str">
        <x:v>0 = use line rate × efficiency</x:v>
      </x:c>
    </x:row>
    <x:row r="10">
      <x:c r="A10" s="17" t="str">
        <x:v>Scale-up bandwidth</x:v>
      </x:c>
      <x:c r="B10" s="26" t="n">
        <x:v>0</x:v>
      </x:c>
      <x:c r="C10" s="17" t="str">
        <x:v>GB/s per GPU</x:v>
      </x:c>
      <x:c r="D10" s="17" t="str">
        <x:v>OPTIONAL</x:v>
      </x:c>
      <x:c r="E10" s="17" t="str">
        <x:v>Informational only; scale-up ≠ scale-out</x:v>
      </x:c>
    </x:row>
    <x:row r="11">
      <x:c r="A11" s="17" t="str">
        <x:v>Fabric downlink capacity</x:v>
      </x:c>
      <x:c r="B11" s="26" t="n">
        <x:v>102.4</x:v>
      </x:c>
      <x:c r="C11" s="17" t="str">
        <x:v>Tb/s</x:v>
      </x:c>
      <x:c r="D11" s="17" t="str">
        <x:v>USER INPUT</x:v>
      </x:c>
      <x:c r="E11" s="17" t="str">
        <x:v>Modeled switching-stage downstream endpoint capacity</x:v>
      </x:c>
    </x:row>
    <x:row r="12">
      <x:c r="A12" s="17" t="str">
        <x:v>Fabric uplink capacity</x:v>
      </x:c>
      <x:c r="B12" s="26" t="n">
        <x:v>102.4</x:v>
      </x:c>
      <x:c r="C12" s="17" t="str">
        <x:v>Tb/s</x:v>
      </x:c>
      <x:c r="D12" s="17" t="str">
        <x:v>USER INPUT</x:v>
      </x:c>
      <x:c r="E12" s="17" t="str">
        <x:v>Modeled upstream capacity</x:v>
      </x:c>
    </x:row>
    <x:row r="13">
      <x:c r="A13" s="17" t="str">
        <x:v>Bisection capacity</x:v>
      </x:c>
      <x:c r="B13" s="26" t="n">
        <x:v>0</x:v>
      </x:c>
      <x:c r="C13" s="17" t="str">
        <x:v>Tb/s</x:v>
      </x:c>
      <x:c r="D13" s="17" t="str">
        <x:v>OPTIONAL</x:v>
      </x:c>
      <x:c r="E13" s="17" t="str">
        <x:v>0 = use uplink as simplified cross-section limit</x:v>
      </x:c>
    </x:row>
    <x:row r="14">
      <x:c r="A14" s="17" t="str">
        <x:v>GPU cost per hour</x:v>
      </x:c>
      <x:c r="B14" s="26" t="n">
        <x:v>0</x:v>
      </x:c>
      <x:c r="C14" s="17" t="str">
        <x:v>currency/GPU-hour</x:v>
      </x:c>
      <x:c r="D14" s="17" t="str">
        <x:v>OPTIONAL</x:v>
      </x:c>
      <x:c r="E14" s="17" t="str">
        <x:v>0 disables dollar exposure</x:v>
      </x:c>
    </x:row>
    <x:row r="15">
      <x:c r="A15" s="17" t="str">
        <x:v>Network upgrade cost</x:v>
      </x:c>
      <x:c r="B15" s="26" t="n">
        <x:v>0</x:v>
      </x:c>
      <x:c r="C15" s="17" t="str">
        <x:v>currency</x:v>
      </x:c>
      <x:c r="D15" s="17" t="str">
        <x:v>OPTIONAL</x:v>
      </x:c>
      <x:c r="E15" s="17" t="str">
        <x:v>0 disables break-even screen</x:v>
      </x:c>
    </x:row>
    <x:row r="16">
      <x:c r="A16" s="17" t="str">
        <x:v>Economic period</x:v>
      </x:c>
      <x:c r="B16" s="26" t="n">
        <x:v>8760</x:v>
      </x:c>
      <x:c r="C16" s="17" t="str">
        <x:v>hours</x:v>
      </x:c>
      <x:c r="D16" s="17" t="str">
        <x:v>SCENARIO</x:v>
      </x:c>
      <x:c r="E16" s="17" t="str">
        <x:v>User-changeable; not a financing model</x:v>
      </x:c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7" hidden="0" customWidth="1"/>
    <x:col min="3" max="3" width="20" hidden="0" customWidth="1"/>
    <x:col min="4" max="4" width="20" hidden="0" customWidth="1"/>
    <x:col min="5" max="5" width="76" hidden="0" customWidth="1"/>
  </x:cols>
  <x:sheetData>
    <x:row r="1">
      <x:c r="A1" s="18" t="str">
        <x:v>Workload input</x:v>
      </x:c>
      <x:c r="B1" s="18" t="str">
        <x:v>Value</x:v>
      </x:c>
      <x:c r="C1" s="18" t="str">
        <x:v>Unit</x:v>
      </x:c>
      <x:c r="D1" s="18" t="str">
        <x:v>Type</x:v>
      </x:c>
      <x:c r="E1" s="18" t="str">
        <x:v>Note</x:v>
      </x:c>
    </x:row>
    <x:row r="2">
      <x:c r="A2" s="17" t="str">
        <x:v>Workload class</x:v>
      </x:c>
      <x:c r="B2" s="26" t="str">
        <x:v>TRAINING</x:v>
      </x:c>
      <x:c r="C2" s="17" t="str"/>
      <x:c r="D2" s="17" t="str">
        <x:v>USER INPUT</x:v>
      </x:c>
      <x:c r="E2" s="17" t="str">
        <x:v>TRAINING or INFERENCE</x:v>
      </x:c>
    </x:row>
    <x:row r="3">
      <x:c r="A3" s="17" t="str">
        <x:v>Parallelism</x:v>
      </x:c>
      <x:c r="B3" s="26" t="str">
        <x:v>DATA</x:v>
      </x:c>
      <x:c r="C3" s="17" t="str"/>
      <x:c r="D3" s="17" t="str">
        <x:v>USER INPUT</x:v>
      </x:c>
      <x:c r="E3" s="17" t="str">
        <x:v>DATA / TENSOR / PIPELINE / EXPERT / MIXED</x:v>
      </x:c>
    </x:row>
    <x:row r="4">
      <x:c r="A4" s="17" t="str">
        <x:v>Collective</x:v>
      </x:c>
      <x:c r="B4" s="26" t="str">
        <x:v>ALLREDUCE_RING_ANALYTICAL</x:v>
      </x:c>
      <x:c r="C4" s="17" t="str"/>
      <x:c r="D4" s="17" t="str">
        <x:v>USER INPUT</x:v>
      </x:c>
      <x:c r="E4" s="17" t="str">
        <x:v>Analytical selector; ring does not imply NCCL choice</x:v>
      </x:c>
    </x:row>
    <x:row r="5">
      <x:c r="A5" s="17" t="str">
        <x:v>Collectives per step</x:v>
      </x:c>
      <x:c r="B5" s="26" t="n">
        <x:v>1</x:v>
      </x:c>
      <x:c r="C5" s="17" t="str">
        <x:v>count</x:v>
      </x:c>
      <x:c r="D5" s="17" t="str">
        <x:v>USER INPUT</x:v>
      </x:c>
      <x:c r="E5" s="17" t="str">
        <x:v>Traffic accounting</x:v>
      </x:c>
    </x:row>
    <x:row r="6">
      <x:c r="A6" s="17" t="str">
        <x:v>Message bytes</x:v>
      </x:c>
      <x:c r="B6" s="26" t="n">
        <x:v>1073741824</x:v>
      </x:c>
      <x:c r="C6" s="17" t="str">
        <x:v>bytes</x:v>
      </x:c>
      <x:c r="D6" s="17" t="str">
        <x:v>SCENARIO</x:v>
      </x:c>
      <x:c r="E6" s="17" t="str">
        <x:v>1 GiB primary worked case</x:v>
      </x:c>
    </x:row>
    <x:row r="7">
      <x:c r="A7" s="17" t="str">
        <x:v>Collective group size</x:v>
      </x:c>
      <x:c r="B7" s="26" t="n">
        <x:v>64</x:v>
      </x:c>
      <x:c r="C7" s="17" t="str">
        <x:v>ranks</x:v>
      </x:c>
      <x:c r="D7" s="17" t="str">
        <x:v>SCENARIO</x:v>
      </x:c>
      <x:c r="E7" s="17" t="str">
        <x:v>Primary worked case</x:v>
      </x:c>
    </x:row>
    <x:row r="8">
      <x:c r="A8" s="17" t="str">
        <x:v>Compute time</x:v>
      </x:c>
      <x:c r="B8" s="26" t="n">
        <x:v>270</x:v>
      </x:c>
      <x:c r="C8" s="17" t="str">
        <x:v>ms</x:v>
      </x:c>
      <x:c r="D8" s="17" t="str">
        <x:v>SCENARIO</x:v>
      </x:c>
      <x:c r="E8" s="17" t="str">
        <x:v>Compute-only step time</x:v>
      </x:c>
    </x:row>
    <x:row r="9">
      <x:c r="A9" s="17" t="str">
        <x:v>Communication deadline</x:v>
      </x:c>
      <x:c r="B9" s="26" t="n">
        <x:v>30</x:v>
      </x:c>
      <x:c r="C9" s="17" t="str">
        <x:v>ms</x:v>
      </x:c>
      <x:c r="D9" s="17" t="str">
        <x:v>SCENARIO</x:v>
      </x:c>
      <x:c r="E9" s="17" t="str">
        <x:v>Maximum comm time for selected collective</x:v>
      </x:c>
    </x:row>
    <x:row r="10">
      <x:c r="A10" s="17" t="str">
        <x:v>Latency per analytical ring step</x:v>
      </x:c>
      <x:c r="B10" s="26" t="n">
        <x:v>2</x:v>
      </x:c>
      <x:c r="C10" s="17" t="str">
        <x:v>µs</x:v>
      </x:c>
      <x:c r="D10" s="17" t="str">
        <x:v>SCENARIO</x:v>
      </x:c>
      <x:c r="E10" s="17" t="str">
        <x:v>Effective startup term, not measured universal network latency</x:v>
      </x:c>
    </x:row>
    <x:row r="11">
      <x:c r="A11" s="17" t="str">
        <x:v>Measured communication time</x:v>
      </x:c>
      <x:c r="B11" s="26" t="n">
        <x:v>0</x:v>
      </x:c>
      <x:c r="C11" s="17" t="str">
        <x:v>ms</x:v>
      </x:c>
      <x:c r="D11" s="17" t="str">
        <x:v>OPTIONAL</x:v>
      </x:c>
      <x:c r="E11" s="17" t="str">
        <x:v>0 = use analytical timing</x:v>
      </x:c>
    </x:row>
    <x:row r="12">
      <x:c r="A12" s="17" t="str">
        <x:v>Overlap time</x:v>
      </x:c>
      <x:c r="B12" s="26" t="n">
        <x:v>0</x:v>
      </x:c>
      <x:c r="C12" s="17" t="str">
        <x:v>ms</x:v>
      </x:c>
      <x:c r="D12" s="17" t="str">
        <x:v>SCENARIO/MEASURED</x:v>
      </x:c>
      <x:c r="E12" s="17" t="str">
        <x:v>Must be &lt;= min(compute, communication)</x:v>
      </x:c>
    </x:row>
    <x:row r="13">
      <x:c r="A13" s="17" t="str">
        <x:v>Traffic fraction crossing fabric</x:v>
      </x:c>
      <x:c r="B13" s="27" t="n">
        <x:v>0.5</x:v>
      </x:c>
      <x:c r="C13" s="17" t="str">
        <x:v>ratio</x:v>
      </x:c>
      <x:c r="D13" s="17" t="str">
        <x:v>SCENARIO</x:v>
      </x:c>
      <x:c r="E13" s="17" t="str">
        <x:v>Used for simplified bisection screen</x:v>
      </x:c>
    </x:row>
    <x:row r="14">
      <x:c r="A14" s="17" t="str">
        <x:v>Allowed exposed communication share</x:v>
      </x:c>
      <x:c r="B14" s="27" t="n">
        <x:v>0.1</x:v>
      </x:c>
      <x:c r="C14" s="17" t="str">
        <x:v>ratio</x:v>
      </x:c>
      <x:c r="D14" s="17" t="str">
        <x:v>SCENARIO</x:v>
      </x:c>
      <x:c r="E14" s="17" t="str">
        <x:v>Can derive deadline from compute when desired</x:v>
      </x:c>
    </x:row>
    <x:row r="15">
      <x:c r="A15" s="17" t="str">
        <x:v>Before exposed share</x:v>
      </x:c>
      <x:c r="B15" s="27" t="n">
        <x:v>0.05</x:v>
      </x:c>
      <x:c r="C15" s="17" t="str">
        <x:v>ratio</x:v>
      </x:c>
      <x:c r="D15" s="17" t="str">
        <x:v>OPTIONAL/SCENARIO</x:v>
      </x:c>
      <x:c r="E15" s="17" t="str">
        <x:v>Economic recovery input</x:v>
      </x:c>
    </x:row>
    <x:row r="16">
      <x:c r="A16" s="17" t="str">
        <x:v>After exposed share</x:v>
      </x:c>
      <x:c r="B16" s="27" t="n">
        <x:v>0.02</x:v>
      </x:c>
      <x:c r="C16" s="17" t="str">
        <x:v>ratio</x:v>
      </x:c>
      <x:c r="D16" s="17" t="str">
        <x:v>OPTIONAL/SCENARIO</x:v>
      </x:c>
      <x:c r="E16" s="17" t="str">
        <x:v>Economic recovery input</x:v>
      </x:c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</x:sheetData>
  <x:dataValidations count="3">
    <x:dataValidation type="list" sqref="B2">
      <x:formula1>"TRAINING,INFERENCE"</x:formula1>
    </x:dataValidation>
    <x:dataValidation type="list" sqref="B3">
      <x:formula1>"DATA,TENSOR,PIPELINE,EXPERT,MIXED"</x:formula1>
    </x:dataValidation>
    <x:dataValidation type="list" sqref="B4">
      <x:formula1>"ALLREDUCE_RING_ANALYTICAL,ALLGATHER_RING_ANALYTICAL,REDUCESCATTER_RING_ANALYTICAL,ALLTOALL_BALANCED_PAYLOAD"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9" hidden="0" customWidth="1"/>
    <x:col min="4" max="4" width="76" hidden="0" customWidth="1"/>
  </x:cols>
  <x:sheetData>
    <x:row r="1">
      <x:c r="A1" s="18" t="str">
        <x:v>Collective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Selected operation</x:v>
      </x:c>
      <x:c r="B2" s="32" t="str">
        <x:f>WORKLOAD!B4</x:f>
        <x:v>ALLREDUCE_RING_ANALYTICAL</x:v>
      </x:c>
      <x:c r="C2" s="17" t="str"/>
      <x:c r="D2" s="17" t="str"/>
    </x:row>
    <x:row r="3">
      <x:c r="A3" s="17" t="str">
        <x:v>Ranks n</x:v>
      </x:c>
      <x:c r="B3" s="32" t="n">
        <x:f>WORKLOAD!B7</x:f>
        <x:v>64</x:v>
      </x:c>
      <x:c r="C3" s="17" t="str">
        <x:v>ranks</x:v>
      </x:c>
      <x:c r="D3" s="17" t="str"/>
    </x:row>
    <x:row r="4">
      <x:c r="A4" s="17" t="str">
        <x:v>Message S/D</x:v>
      </x:c>
      <x:c r="B4" s="32" t="n">
        <x:f>WORKLOAD!B6</x:f>
        <x:v>1073741824</x:v>
      </x:c>
      <x:c r="C4" s="17" t="str">
        <x:v>bytes</x:v>
      </x:c>
      <x:c r="D4" s="17" t="str">
        <x:v>Input message/payload definition depends on operation</x:v>
      </x:c>
    </x:row>
    <x:row r="5">
      <x:c r="A5" s="17" t="str">
        <x:v>ReduceScatter ring payload/rank</x:v>
      </x:c>
      <x:c r="B5" s="32" t="n">
        <x:f>IF(B3&gt;0,(B3-1)/B3*B4,0)</x:f>
        <x:v>1056964608</x:v>
      </x:c>
      <x:c r="C5" s="17" t="str">
        <x:v>bytes</x:v>
      </x:c>
      <x:c r="D5" s="17" t="str">
        <x:v>(n-1)/n × S</x:v>
      </x:c>
    </x:row>
    <x:row r="6">
      <x:c r="A6" s="17" t="str">
        <x:v>AllGather ring payload/rank</x:v>
      </x:c>
      <x:c r="B6" s="32" t="n">
        <x:f>B5</x:f>
        <x:v>1056964608</x:v>
      </x:c>
      <x:c r="C6" s="17" t="str">
        <x:v>bytes</x:v>
      </x:c>
      <x:c r="D6" s="17" t="str">
        <x:v>(n-1)/n × S</x:v>
      </x:c>
    </x:row>
    <x:row r="7">
      <x:c r="A7" s="17" t="str">
        <x:v>AllReduce ring payload/rank</x:v>
      </x:c>
      <x:c r="B7" s="32" t="n">
        <x:f>2*B5</x:f>
        <x:v>2113929216</x:v>
      </x:c>
      <x:c r="C7" s="17" t="str">
        <x:v>bytes</x:v>
      </x:c>
      <x:c r="D7" s="17" t="str">
        <x:v>2(n-1)/n × S</x:v>
      </x:c>
    </x:row>
    <x:row r="8">
      <x:c r="A8" s="17" t="str">
        <x:v>Balanced AlltoAll remote payload/rank</x:v>
      </x:c>
      <x:c r="B8" s="32" t="n">
        <x:f>IF(B3&gt;0,(B3-1)/B3*B4,0)</x:f>
        <x:v>1056964608</x:v>
      </x:c>
      <x:c r="C8" s="17" t="str">
        <x:v>bytes</x:v>
      </x:c>
      <x:c r="D8" s="17" t="str">
        <x:v>D(n-1)/n</x:v>
      </x:c>
    </x:row>
    <x:row r="9">
      <x:c r="A9" s="17" t="str">
        <x:v>Analytical ring steps</x:v>
      </x:c>
      <x:c r="B9" s="32" t="n">
        <x:f>IF(B2="ALLREDUCE_RING_ANALYTICAL",2*(B3-1),IF(OR(B2="ALLGATHER_RING_ANALYTICAL",B2="REDUCESCATTER_RING_ANALYTICAL"),B3-1,0))</x:f>
        <x:v>126</x:v>
      </x:c>
      <x:c r="C9" s="17" t="str">
        <x:v>steps</x:v>
      </x:c>
      <x:c r="D9" s="17" t="str">
        <x:v>AllReduce uses 2(n-1); AG/RS use (n-1)</x:v>
      </x:c>
    </x:row>
    <x:row r="10">
      <x:c r="A10" s="17" t="str">
        <x:v>Selected payload/rank</x:v>
      </x:c>
      <x:c r="B10" s="32" t="n">
        <x:f>IF(B2="ALLREDUCE_RING_ANALYTICAL",B7,IF(B2="ALLGATHER_RING_ANALYTICAL",B6,IF(B2="REDUCESCATTER_RING_ANALYTICAL",B5,IF(B2="ALLTOALL_BALANCED_PAYLOAD",B8,0))))</x:f>
        <x:v>2113929216</x:v>
      </x:c>
      <x:c r="C10" s="17" t="str">
        <x:v>bytes</x:v>
      </x:c>
      <x:c r="D10" s="17" t="str">
        <x:v>Formula based on selected operation</x:v>
      </x:c>
    </x:row>
    <x:row r="11">
      <x:c r="A11" s="17" t="str">
        <x:v>Selected analytical steps</x:v>
      </x:c>
      <x:c r="B11" s="32" t="n">
        <x:f>B9</x:f>
        <x:v>126</x:v>
      </x:c>
      <x:c r="C11" s="17" t="str">
        <x:v>steps</x:v>
      </x:c>
      <x:c r="D11" s="17" t="str">
        <x:v>AlltoAll has no ring step model here</x:v>
      </x:c>
    </x:row>
    <x:row r="12">
      <x:c r="A12" s="17" t="str">
        <x:v>Model warning</x:v>
      </x:c>
      <x:c r="B12" s="32" t="str">
        <x:f>IF(B2="ALLTOALL_BALANCED_PAYLOAD","ALL-TO-ALL MODEL — routing/topology assumptions required","RING MODEL — analytical only; NCCL may select another algorithm")</x:f>
        <x:v>RING MODEL — analytical only; NCCL may select another algorithm</x:v>
      </x:c>
      <x:c r="C12" s="17" t="str"/>
      <x:c r="D12" s="17" t="str"/>
    </x:row>
    <x:row r="13">
      <x:c r="A13" s="17"/>
      <x:c r="B13" s="17"/>
      <x:c r="C13" s="17"/>
      <x:c r="D13" s="17"/>
    </x:row>
    <x:row r="14">
      <x:c r="A14" s="17"/>
      <x:c r="B14" s="17"/>
      <x:c r="C14" s="17"/>
      <x:c r="D14" s="17"/>
    </x:row>
    <x:row r="15">
      <x:c r="A15" s="17"/>
      <x:c r="B15" s="17"/>
      <x:c r="C15" s="17"/>
      <x:c r="D15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8" hidden="0" customWidth="1"/>
    <x:col min="3" max="3" width="18" hidden="0" customWidth="1"/>
    <x:col min="4" max="4" width="78" hidden="0" customWidth="1"/>
  </x:cols>
  <x:sheetData>
    <x:row r="1">
      <x:c r="A1" s="18" t="str">
        <x:v>Latency / bandwidth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Raw line-rate bytes/s per GPU</x:v>
      </x:c>
      <x:c r="B2" s="32" t="n">
        <x:f>HARDWARE!B6*HARDWARE!B5*1E9/8</x:f>
        <x:v>100000000000</x:v>
      </x:c>
      <x:c r="C2" s="17" t="str">
        <x:v>B/s</x:v>
      </x:c>
      <x:c r="D2" s="17" t="str">
        <x:v>Gb/s × NICs/GPU ÷8</x:v>
      </x:c>
    </x:row>
    <x:row r="3">
      <x:c r="A3" s="17" t="str">
        <x:v>Raw line-rate GB/s per GPU</x:v>
      </x:c>
      <x:c r="B3" s="32" t="n">
        <x:f>B2/1E9</x:f>
        <x:v>100</x:v>
      </x:c>
      <x:c r="C3" s="17" t="str">
        <x:v>GB/s</x:v>
      </x:c>
      <x:c r="D3" s="17" t="str">
        <x:v>Decimal conversion; LINE RATE ≠ useful payload</x:v>
      </x:c>
    </x:row>
    <x:row r="4">
      <x:c r="A4" s="17" t="str">
        <x:v>Scenario effective bandwidth</x:v>
      </x:c>
      <x:c r="B4" s="32" t="n">
        <x:f>IF(HARDWARE!B9&gt;0,HARDWARE!B9,B3*HARDWARE!B8)</x:f>
        <x:v>80</x:v>
      </x:c>
      <x:c r="C4" s="17" t="str">
        <x:v>GB/s</x:v>
      </x:c>
      <x:c r="D4" s="17" t="str">
        <x:v>Measured if supplied else raw×eta</x:v>
      </x:c>
    </x:row>
    <x:row r="5">
      <x:c r="A5" s="17" t="str">
        <x:v>Measured &gt; line rate warning</x:v>
      </x:c>
      <x:c r="B5" s="32" t="str">
        <x:f>IF(AND(HARDWARE!B9&gt;0,HARDWARE!B9&gt;B3),"MEASURED &gt; LINE RATE — INVALID","PASS")</x:f>
        <x:v>PASS</x:v>
      </x:c>
      <x:c r="C5" s="17" t="str"/>
      <x:c r="D5" s="17" t="str">
        <x:v>Invalid if measured effective &gt; raw line</x:v>
      </x:c>
    </x:row>
    <x:row r="6">
      <x:c r="A6" s="17" t="str">
        <x:v>Latency floor</x:v>
      </x:c>
      <x:c r="B6" s="32" t="n">
        <x:f>COLLECTIVES!B11*WORKLOAD!B10/1000</x:f>
        <x:v>0.252</x:v>
      </x:c>
      <x:c r="C6" s="17" t="str">
        <x:v>ms</x:v>
      </x:c>
      <x:c r="D6" s="17" t="str">
        <x:v>steps × lambda for selected ring analytical model</x:v>
      </x:c>
    </x:row>
    <x:row r="7">
      <x:c r="A7" s="17" t="str">
        <x:v>Communication deadline</x:v>
      </x:c>
      <x:c r="B7" s="32" t="n">
        <x:f>WORKLOAD!B9</x:f>
        <x:v>30</x:v>
      </x:c>
      <x:c r="C7" s="17" t="str">
        <x:v>ms</x:v>
      </x:c>
      <x:c r="D7" s="17" t="str">
        <x:v>Input</x:v>
      </x:c>
    </x:row>
    <x:row r="8">
      <x:c r="A8" s="17" t="str">
        <x:v>Finite-bandwidth feasibility</x:v>
      </x:c>
      <x:c r="B8" s="32" t="str">
        <x:f>IF(COLLECTIVES!B11=0,"ALL-TO-ALL TIMING NOT MODELED",IF(B7&gt;B6,"FINITE","NO FINITE BANDWIDTH"))</x:f>
        <x:v>FINITE</x:v>
      </x:c>
      <x:c r="C8" s="17" t="str"/>
      <x:c r="D8" s="17" t="str">
        <x:v>Deadline must exceed latency floor for analytical ring timing</x:v>
      </x:c>
    </x:row>
    <x:row r="9">
      <x:c r="A9" s="17" t="str">
        <x:v>Remaining serialization budget</x:v>
      </x:c>
      <x:c r="B9" s="32" t="n">
        <x:f>IF(AND(COLLECTIVES!B11&gt;0,B7&gt;B6),B7-B6,0)</x:f>
        <x:v>29.748</x:v>
      </x:c>
      <x:c r="C9" s="17" t="str">
        <x:v>ms</x:v>
      </x:c>
      <x:c r="D9" s="17" t="str">
        <x:v>deadline - latency floor</x:v>
      </x:c>
    </x:row>
    <x:row r="10">
      <x:c r="A10" s="17" t="str">
        <x:v>Required effective bandwidth</x:v>
      </x:c>
      <x:c r="B10" s="32" t="n">
        <x:f>IF(B9&gt;0,COLLECTIVES!B10/(B9/1000)/1E9,0)</x:f>
        <x:v>71.06122146026624</x:v>
      </x:c>
      <x:c r="C10" s="17" t="str">
        <x:v>GB/s</x:v>
      </x:c>
      <x:c r="D10" s="17" t="str">
        <x:v>payload / remaining budget</x:v>
      </x:c>
    </x:row>
    <x:row r="11">
      <x:c r="A11" s="17" t="str">
        <x:v>Required raw line rate</x:v>
      </x:c>
      <x:c r="B11" s="32" t="n">
        <x:f>IF(AND(B10&gt;0,HARDWARE!B8&gt;0),B10/HARDWARE!B8*8,0)</x:f>
        <x:v>710.6122146026623</x:v>
      </x:c>
      <x:c r="C11" s="17" t="str">
        <x:v>Gb/s</x:v>
      </x:c>
      <x:c r="D11" s="17" t="str">
        <x:v>required effective / eta</x:v>
      </x:c>
    </x:row>
    <x:row r="12">
      <x:c r="A12" s="17" t="str">
        <x:v>Bandwidth term at effective bandwidth</x:v>
      </x:c>
      <x:c r="B12" s="32" t="n">
        <x:f>IF(B4&gt;0,COLLECTIVES!B10/(B4*1E9)*1000,0)</x:f>
        <x:v>26.4241152</x:v>
      </x:c>
      <x:c r="C12" s="17" t="str">
        <x:v>ms</x:v>
      </x:c>
      <x:c r="D12" s="17" t="str">
        <x:v>payload / effective bandwidth</x:v>
      </x:c>
    </x:row>
    <x:row r="13">
      <x:c r="A13" s="17" t="str">
        <x:v>Predicted analytical communication time</x:v>
      </x:c>
      <x:c r="B13" s="32" t="n">
        <x:f>IF(COLLECTIVES!B11&gt;0,B6+B12,0)</x:f>
        <x:v>26.676115199999998</x:v>
      </x:c>
      <x:c r="C13" s="17" t="str">
        <x:v>ms</x:v>
      </x:c>
      <x:c r="D13" s="17" t="str">
        <x:v>latency + bandwidth terms</x:v>
      </x:c>
    </x:row>
    <x:row r="14">
      <x:c r="A14" s="17" t="str">
        <x:v>Latency/bandwidth crossover message S*</x:v>
      </x:c>
      <x:c r="B14" s="32" t="n">
        <x:f>IF(WORKLOAD!B4="ALLREDUCE_RING_ANALYTICAL",WORKLOAD!B7*(WORKLOAD!B10/1E6)*(B4*1E9),0)</x:f>
        <x:v>10240000</x:v>
      </x:c>
      <x:c r="C14" s="17" t="str">
        <x:v>bytes</x:v>
      </x:c>
      <x:c r="D14" s="17" t="str">
        <x:v>ring AllReduce only: n×lambda×B_eff</x:v>
      </x:c>
    </x:row>
    <x:row r="15">
      <x:c r="A15" s="17" t="str">
        <x:v>Deadline from allowed share, no overlap</x:v>
      </x:c>
      <x:c r="B15" s="32" t="n">
        <x:f>IF(AND(WORKLOAD!B14&gt;=0,WORKLOAD!B14&lt;1),WORKLOAD!B14/(1-WORKLOAD!B14)*WORKLOAD!B8,0)</x:f>
        <x:v>30.000000000000004</x:v>
      </x:c>
      <x:c r="C15" s="17" t="str">
        <x:v>ms</x:v>
      </x:c>
      <x:c r="D15" s="17" t="str">
        <x:v>f/(1-f) × compute time</x:v>
      </x:c>
    </x:row>
    <x:row r="16">
      <x:c r="A16" s="17"/>
      <x:c r="B16" s="17"/>
      <x:c r="C16" s="17"/>
      <x:c r="D16" s="17"/>
    </x:row>
    <x:row r="17">
      <x:c r="A17" s="17"/>
      <x:c r="B17" s="17"/>
      <x:c r="C17" s="17"/>
      <x:c r="D17" s="17"/>
    </x:row>
    <x:row r="18">
      <x:c r="A18" s="17"/>
      <x:c r="B18" s="17"/>
      <x:c r="C18" s="17"/>
      <x:c r="D18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76" hidden="0" customWidth="1"/>
  </x:cols>
  <x:sheetData>
    <x:row r="1">
      <x:c r="A1" s="18" t="str">
        <x:v>Fabric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Aggregate endpoint line-rate sum</x:v>
      </x:c>
      <x:c r="B2" s="32" t="n">
        <x:f>HARDWARE!B2*HARDWARE!B5*HARDWARE!B6/1000</x:f>
        <x:v>51.2</x:v>
      </x:c>
      <x:c r="C2" s="17" t="str">
        <x:v>Tb/s</x:v>
      </x:c>
      <x:c r="D2" s="17" t="str">
        <x:v>SUM of endpoint line rates, not useful app throughput</x:v>
      </x:c>
    </x:row>
    <x:row r="3">
      <x:c r="A3" s="17" t="str">
        <x:v>Fabric downlink capacity</x:v>
      </x:c>
      <x:c r="B3" s="32" t="n">
        <x:f>HARDWARE!B11</x:f>
        <x:v>102.4</x:v>
      </x:c>
      <x:c r="C3" s="17" t="str">
        <x:v>Tb/s</x:v>
      </x:c>
      <x:c r="D3" s="17" t="str">
        <x:v>Input</x:v>
      </x:c>
    </x:row>
    <x:row r="4">
      <x:c r="A4" s="17" t="str">
        <x:v>Fabric uplink capacity</x:v>
      </x:c>
      <x:c r="B4" s="32" t="n">
        <x:f>HARDWARE!B12</x:f>
        <x:v>102.4</x:v>
      </x:c>
      <x:c r="C4" s="17" t="str">
        <x:v>Tb/s</x:v>
      </x:c>
      <x:c r="D4" s="17" t="str">
        <x:v>Input</x:v>
      </x:c>
    </x:row>
    <x:row r="5">
      <x:c r="A5" s="17" t="str">
        <x:v>Oversubscription O=D/U</x:v>
      </x:c>
      <x:c r="B5" s="32" t="n">
        <x:f>IF(B4&gt;0,B3/B4,0)</x:f>
        <x:v>1</x:v>
      </x:c>
      <x:c r="C5" s="17" t="str">
        <x:v>ratio</x:v>
      </x:c>
      <x:c r="D5" s="17" t="str">
        <x:v>&gt;1 means downstream line capacity exceeds modeled uplink</x:v>
      </x:c>
    </x:row>
    <x:row r="6">
      <x:c r="A6" s="17" t="str">
        <x:v>Modeled bisection/cross-section</x:v>
      </x:c>
      <x:c r="B6" s="32" t="n">
        <x:f>IF(HARDWARE!B13&gt;0,HARDWARE!B13,B4)</x:f>
        <x:v>102.4</x:v>
      </x:c>
      <x:c r="C6" s="17" t="str">
        <x:v>Tb/s</x:v>
      </x:c>
      <x:c r="D6" s="17" t="str">
        <x:v>Optional bisection input else uplink</x:v>
      </x:c>
    </x:row>
    <x:row r="7">
      <x:c r="A7" s="17" t="str">
        <x:v>Traffic fraction crossing</x:v>
      </x:c>
      <x:c r="B7" s="32" t="n">
        <x:f>WORKLOAD!B13</x:f>
        <x:v>0.5</x:v>
      </x:c>
      <x:c r="C7" s="17" t="str">
        <x:v>ratio</x:v>
      </x:c>
      <x:c r="D7" s="17" t="str">
        <x:v>Scenario</x:v>
      </x:c>
    </x:row>
    <x:row r="8">
      <x:c r="A8" s="17" t="str">
        <x:v>Crossing line-rate demand</x:v>
      </x:c>
      <x:c r="B8" s="32" t="n">
        <x:f>B2*B7</x:f>
        <x:v>25.6</x:v>
      </x:c>
      <x:c r="C8" s="17" t="str">
        <x:v>Tb/s</x:v>
      </x:c>
      <x:c r="D8" s="17" t="str">
        <x:v>endpoint line-rate sum × crossing fraction</x:v>
      </x:c>
    </x:row>
    <x:row r="9">
      <x:c r="A9" s="17" t="str">
        <x:v>Effective crossing limit</x:v>
      </x:c>
      <x:c r="B9" s="32" t="n">
        <x:f>MIN(B8,B6)</x:f>
        <x:v>25.6</x:v>
      </x:c>
      <x:c r="C9" s="17" t="str">
        <x:v>Tb/s</x:v>
      </x:c>
      <x:c r="D9" s="17" t="str">
        <x:v>min(demand,cross-section)</x:v>
      </x:c>
    </x:row>
    <x:row r="10">
      <x:c r="A10" s="17" t="str">
        <x:v>Fabric bottleneck warning</x:v>
      </x:c>
      <x:c r="B10" s="32" t="str">
        <x:f>IF(B8&gt;B6,"FABRIC BOTTLENECK — modeled crossing demand exceeds cross-section","PASS")</x:f>
        <x:v>PASS</x:v>
      </x:c>
      <x:c r="C10" s="17" t="str"/>
      <x:c r="D10" s="17" t="str">
        <x:v>Simplified capacity screen only</x:v>
      </x:c>
    </x:row>
    <x:row r="11">
      <x:c r="A11" s="17" t="str">
        <x:v>Aggregate/per-GPU warning</x:v>
      </x:c>
      <x:c r="B11" s="32" t="str">
        <x:v>AGGREGATE ≠ PER GPU</x:v>
      </x:c>
      <x:c r="C11" s="17" t="str"/>
      <x:c r="D11" s="17" t="str">
        <x:v>AGGREGATE ≠ PER GPU</x:v>
      </x:c>
    </x:row>
    <x:row r="12">
      <x:c r="A12" s="17" t="str">
        <x:v>Scale boundary warning</x:v>
      </x:c>
      <x:c r="B12" s="32" t="str">
        <x:v>SCALE-UP ≠ SCALE-OUT</x:v>
      </x:c>
      <x:c r="C12" s="17" t="str"/>
      <x:c r="D12" s="17" t="str">
        <x:v>SCALE-UP ≠ SCALE-OUT</x:v>
      </x:c>
    </x:row>
    <x:row r="13">
      <x:c r="A13" s="17"/>
      <x:c r="B13" s="17"/>
      <x:c r="C13" s="17"/>
      <x:c r="D13" s="17"/>
    </x:row>
    <x:row r="14">
      <x:c r="A14" s="17"/>
      <x:c r="B14" s="17"/>
      <x:c r="C14" s="17"/>
      <x:c r="D14" s="17"/>
    </x:row>
    <x:row r="15">
      <x:c r="A15" s="17"/>
      <x:c r="B15" s="17"/>
      <x:c r="C15" s="17"/>
      <x:c r="D15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4" hidden="0" customWidth="1"/>
    <x:col min="3" max="3" width="18" hidden="0" customWidth="1"/>
    <x:col min="4" max="4" width="78" hidden="0" customWidth="1"/>
  </x:cols>
  <x:sheetData>
    <x:row r="1">
      <x:c r="A1" s="18" t="str">
        <x:v>Overlap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Communication time used</x:v>
      </x:c>
      <x:c r="B2" s="32" t="n">
        <x:f>IF(WORKLOAD!B11&gt;0,WORKLOAD!B11,LATENCY!B13)</x:f>
        <x:v>26.676115199999998</x:v>
      </x:c>
      <x:c r="C2" s="17" t="str">
        <x:v>ms</x:v>
      </x:c>
      <x:c r="D2" s="17" t="str">
        <x:v>Measured if supplied, else analytical</x:v>
      </x:c>
    </x:row>
    <x:row r="3">
      <x:c r="A3" s="17" t="str">
        <x:v>Compute time</x:v>
      </x:c>
      <x:c r="B3" s="32" t="n">
        <x:f>WORKLOAD!B8</x:f>
        <x:v>270</x:v>
      </x:c>
      <x:c r="C3" s="17" t="str">
        <x:v>ms</x:v>
      </x:c>
      <x:c r="D3" s="17" t="str">
        <x:v>Input</x:v>
      </x:c>
    </x:row>
    <x:row r="4">
      <x:c r="A4" s="17" t="str">
        <x:v>Overlap time</x:v>
      </x:c>
      <x:c r="B4" s="32" t="n">
        <x:f>WORKLOAD!B12</x:f>
        <x:v>0</x:v>
      </x:c>
      <x:c r="C4" s="17" t="str">
        <x:v>ms</x:v>
      </x:c>
      <x:c r="D4" s="17" t="str">
        <x:v>Input</x:v>
      </x:c>
    </x:row>
    <x:row r="5">
      <x:c r="A5" s="17" t="str">
        <x:v>Overlap validity</x:v>
      </x:c>
      <x:c r="B5" s="32" t="str">
        <x:f>IF(B4&lt;=MIN(B2,B3),"PASS","OVERLAP &gt; min(compute,communication) — INVALID")</x:f>
        <x:v>PASS</x:v>
      </x:c>
      <x:c r="C5" s="17" t="str"/>
      <x:c r="D5" s="17" t="str">
        <x:v>Must not exceed min(compute, communication)</x:v>
      </x:c>
    </x:row>
    <x:row r="6">
      <x:c r="A6" s="17" t="str">
        <x:v>Exposed communication</x:v>
      </x:c>
      <x:c r="B6" s="32" t="n">
        <x:f>MAX(0,B2-B4)</x:f>
        <x:v>26.676115199999998</x:v>
      </x:c>
      <x:c r="C6" s="17" t="str">
        <x:v>ms</x:v>
      </x:c>
      <x:c r="D6" s="17" t="str">
        <x:v>comm - overlap</x:v>
      </x:c>
    </x:row>
    <x:row r="7">
      <x:c r="A7" s="17" t="str">
        <x:v>Step time</x:v>
      </x:c>
      <x:c r="B7" s="32" t="n">
        <x:f>B3+B2-B4</x:f>
        <x:v>296.6761152</x:v>
      </x:c>
      <x:c r="C7" s="17" t="str">
        <x:v>ms</x:v>
      </x:c>
      <x:c r="D7" s="17" t="str">
        <x:v>compute + comm - overlap</x:v>
      </x:c>
    </x:row>
    <x:row r="8">
      <x:c r="A8" s="17" t="str">
        <x:v>Communication share</x:v>
      </x:c>
      <x:c r="B8" s="36" t="n">
        <x:f>IF(B7&gt;0,B2/B7,0)</x:f>
        <x:v>0.0899166256846011</x:v>
      </x:c>
      <x:c r="C8" s="17" t="str">
        <x:v>ratio</x:v>
      </x:c>
      <x:c r="D8" s="17" t="str">
        <x:v>total comm / step</x:v>
      </x:c>
    </x:row>
    <x:row r="9">
      <x:c r="A9" s="17" t="str">
        <x:v>Exposed communication share</x:v>
      </x:c>
      <x:c r="B9" s="36" t="n">
        <x:f>IF(B7&gt;0,B6/B7,0)</x:f>
        <x:v>0.0899166256846011</x:v>
      </x:c>
      <x:c r="C9" s="17" t="str">
        <x:v>ratio</x:v>
      </x:c>
      <x:c r="D9" s="17" t="str">
        <x:v>exposed comm / step</x:v>
      </x:c>
    </x:row>
    <x:row r="10">
      <x:c r="A10" s="17" t="str">
        <x:v>Interpretation</x:v>
      </x:c>
      <x:c r="B10" s="32" t="str">
        <x:v>Normalized exposed capacity, not a claim that communication kernels are always idle.</x:v>
      </x:c>
      <x:c r="C10" s="17" t="str"/>
      <x:c r="D10" s="17" t="str">
        <x:v>Exposed share is not identical to literal idle hardware</x:v>
      </x:c>
    </x:row>
    <x:row r="11">
      <x:c r="A11" s="17"/>
      <x:c r="B11" s="17"/>
      <x:c r="C11" s="17"/>
      <x:c r="D11" s="17"/>
    </x:row>
    <x:row r="12">
      <x:c r="A12" s="17"/>
      <x:c r="B12" s="17"/>
      <x:c r="C12" s="17"/>
      <x:c r="D12" s="17"/>
    </x:row>
    <x:row r="13">
      <x:c r="A13" s="17"/>
      <x:c r="B13" s="17"/>
      <x:c r="C13" s="17"/>
      <x:c r="D13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24" hidden="0" customWidth="1"/>
    <x:col min="4" max="4" width="76" hidden="0" customWidth="1"/>
  </x:cols>
  <x:sheetData>
    <x:row r="1">
      <x:c r="A1" s="18" t="str">
        <x:v>Capacity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GPU count</x:v>
      </x:c>
      <x:c r="B2" s="32" t="n">
        <x:f>HARDWARE!B2</x:f>
        <x:v>64</x:v>
      </x:c>
      <x:c r="C2" s="17" t="str">
        <x:v>GPUs</x:v>
      </x:c>
      <x:c r="D2" s="17" t="str">
        <x:v>Input</x:v>
      </x:c>
    </x:row>
    <x:row r="3">
      <x:c r="A3" s="17" t="str">
        <x:v>Exposed communication share</x:v>
      </x:c>
      <x:c r="B3" s="36" t="n">
        <x:f>OVERLAP!B9</x:f>
        <x:v>0.0899166256846011</x:v>
      </x:c>
      <x:c r="C3" s="17" t="str">
        <x:v>ratio</x:v>
      </x:c>
      <x:c r="D3" s="17" t="str">
        <x:v>From OVERLAP</x:v>
      </x:c>
    </x:row>
    <x:row r="4">
      <x:c r="A4" s="17" t="str">
        <x:v>GPU-equivalent exposed capacity</x:v>
      </x:c>
      <x:c r="B4" s="32" t="n">
        <x:f>B2*B3</x:f>
        <x:v>5.75466404381447</x:v>
      </x:c>
      <x:c r="C4" s="17" t="str">
        <x:v>GPU-equivalent</x:v>
      </x:c>
      <x:c r="D4" s="17" t="str">
        <x:v>G × exposed share</x:v>
      </x:c>
    </x:row>
    <x:row r="5">
      <x:c r="A5" s="17" t="str">
        <x:v>GPU-hour equivalent exposure/hour</x:v>
      </x:c>
      <x:c r="B5" s="32" t="n">
        <x:f>B4</x:f>
        <x:v>5.75466404381447</x:v>
      </x:c>
      <x:c r="C5" s="17" t="str">
        <x:v>GPU-hours/hour</x:v>
      </x:c>
      <x:c r="D5" s="17" t="str">
        <x:v>Same normalized value per wall-clock hour</x:v>
      </x:c>
    </x:row>
    <x:row r="6">
      <x:c r="A6" s="17" t="str">
        <x:v>Before exposed share</x:v>
      </x:c>
      <x:c r="B6" s="36" t="n">
        <x:f>WORKLOAD!B15</x:f>
        <x:v>0.05</x:v>
      </x:c>
      <x:c r="C6" s="17" t="str">
        <x:v>ratio</x:v>
      </x:c>
      <x:c r="D6" s="17" t="str">
        <x:v>Scenario/input</x:v>
      </x:c>
    </x:row>
    <x:row r="7">
      <x:c r="A7" s="17" t="str">
        <x:v>After exposed share</x:v>
      </x:c>
      <x:c r="B7" s="36" t="n">
        <x:f>WORKLOAD!B16</x:f>
        <x:v>0.02</x:v>
      </x:c>
      <x:c r="C7" s="17" t="str">
        <x:v>ratio</x:v>
      </x:c>
      <x:c r="D7" s="17" t="str">
        <x:v>Scenario/input</x:v>
      </x:c>
    </x:row>
    <x:row r="8">
      <x:c r="A8" s="17" t="str">
        <x:v>Recovered GPU-equivalent capacity</x:v>
      </x:c>
      <x:c r="B8" s="32" t="n">
        <x:f>MAX(0,B2*(B6-B7))</x:f>
        <x:v>1.9200000000000002</x:v>
      </x:c>
      <x:c r="C8" s="17" t="str">
        <x:v>GPU-equivalent</x:v>
      </x:c>
      <x:c r="D8" s="17" t="str">
        <x:v>G(before-after), floored at zero</x:v>
      </x:c>
    </x:row>
    <x:row r="9">
      <x:c r="A9" s="17"/>
      <x:c r="B9" s="17"/>
      <x:c r="C9" s="17"/>
      <x:c r="D9" s="17"/>
    </x:row>
    <x:row r="10">
      <x:c r="A10" s="17"/>
      <x:c r="B10" s="17"/>
      <x:c r="C10" s="17"/>
      <x:c r="D10" s="17"/>
    </x:row>
    <x:row r="11">
      <x:c r="A11" s="17"/>
      <x:c r="B11" s="17"/>
      <x:c r="C11" s="17"/>
      <x:c r="D11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2" hidden="0" customWidth="1"/>
    <x:col min="4" max="4" width="76" hidden="0" customWidth="1"/>
  </x:cols>
  <x:sheetData>
    <x:row r="1">
      <x:c r="A1" s="18" t="str">
        <x:v>Economic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GPU cost/hour</x:v>
      </x:c>
      <x:c r="B2" s="32" t="n">
        <x:f>HARDWARE!B14</x:f>
        <x:v>0</x:v>
      </x:c>
      <x:c r="C2" s="17" t="str">
        <x:v>currency/GPU-hour</x:v>
      </x:c>
      <x:c r="D2" s="17" t="str">
        <x:v>Optional input</x:v>
      </x:c>
    </x:row>
    <x:row r="3">
      <x:c r="A3" s="17" t="str">
        <x:v>Current network exposure/hour</x:v>
      </x:c>
      <x:c r="B3" s="32" t="n">
        <x:f>CAPACITY!B4*B2</x:f>
        <x:v>0</x:v>
      </x:c>
      <x:c r="C3" s="17" t="str">
        <x:v>currency/hour</x:v>
      </x:c>
      <x:c r="D3" s="17" t="str">
        <x:v>GPU-equivalent exposed × GPU cost</x:v>
      </x:c>
    </x:row>
    <x:row r="4">
      <x:c r="A4" s="17" t="str">
        <x:v>Recovered GPU-equivalent capacity</x:v>
      </x:c>
      <x:c r="B4" s="32" t="n">
        <x:f>CAPACITY!B8</x:f>
        <x:v>1.9200000000000002</x:v>
      </x:c>
      <x:c r="C4" s="17" t="str">
        <x:v>GPU-equivalent</x:v>
      </x:c>
      <x:c r="D4" s="17" t="str">
        <x:v>From CAPACITY</x:v>
      </x:c>
    </x:row>
    <x:row r="5">
      <x:c r="A5" s="17" t="str">
        <x:v>Recovered value/hour</x:v>
      </x:c>
      <x:c r="B5" s="32" t="n">
        <x:f>B4*B2</x:f>
        <x:v>0</x:v>
      </x:c>
      <x:c r="C5" s="17" t="str">
        <x:v>currency/hour</x:v>
      </x:c>
      <x:c r="D5" s="17" t="str">
        <x:v>Recovered capacity × GPU cost</x:v>
      </x:c>
    </x:row>
    <x:row r="6">
      <x:c r="A6" s="17" t="str">
        <x:v>Recovered value over period</x:v>
      </x:c>
      <x:c r="B6" s="32" t="n">
        <x:f>B5*HARDWARE!B16</x:f>
        <x:v>0</x:v>
      </x:c>
      <x:c r="C6" s="17" t="str">
        <x:v>currency</x:v>
      </x:c>
      <x:c r="D6" s="17" t="str">
        <x:v>value/hour × period</x:v>
      </x:c>
    </x:row>
    <x:row r="7">
      <x:c r="A7" s="17" t="str">
        <x:v>Network upgrade cost</x:v>
      </x:c>
      <x:c r="B7" s="32" t="n">
        <x:f>HARDWARE!B15</x:f>
        <x:v>0</x:v>
      </x:c>
      <x:c r="C7" s="17" t="str">
        <x:v>currency</x:v>
      </x:c>
      <x:c r="D7" s="17" t="str">
        <x:v>Optional input</x:v>
      </x:c>
    </x:row>
    <x:row r="8">
      <x:c r="A8" s="17" t="str">
        <x:v>Narrow break-even screen</x:v>
      </x:c>
      <x:c r="B8" s="32" t="str">
        <x:f>IF(OR(B7&lt;=0,B2&lt;=0),"OPTIONAL INPUTS NOT SUPPLIED",IF(B6&gt;B7,"RECOVERED CAPACITY VALUE &gt; UPGRADE COST","NO ON THIS NARROW SCREEN"))</x:f>
        <x:v>OPTIONAL INPUTS NOT SUPPLIED</x:v>
      </x:c>
      <x:c r="C8" s="17" t="str"/>
      <x:c r="D8" s="17" t="str">
        <x:v>Recovered value &gt; network upgrade cost</x:v>
      </x:c>
    </x:row>
    <x:row r="9">
      <x:c r="A9" s="17" t="str">
        <x:v>Caveat</x:v>
      </x:c>
      <x:c r="B9" s="32" t="str">
        <x:v>Use measured exposed share and buyer-specific GPU/network costs for a real procurement decision.</x:v>
      </x:c>
      <x:c r="C9" s="17" t="str"/>
      <x:c r="D9" s="17" t="str">
        <x:v>Does not capture reliability, financing, future capacity or operational complexity</x:v>
      </x:c>
    </x:row>
    <x:row r="10">
      <x:c r="A10" s="17"/>
      <x:c r="B10" s="17"/>
      <x:c r="C10" s="17"/>
      <x:c r="D10" s="17"/>
    </x:row>
    <x:row r="11">
      <x:c r="A11" s="17"/>
      <x:c r="B11" s="17"/>
      <x:c r="C11" s="17"/>
      <x:c r="D11" s="17"/>
    </x:row>
    <x:row r="12">
      <x:c r="A12" s="17"/>
      <x:c r="B12" s="17"/>
      <x:c r="C12" s="17"/>
      <x:c r="D12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3" t="str">
        <x:v>Network efficiency</x:v>
      </x:c>
      <x:c r="B1" s="13" t="str">
        <x:v>Effective GB/s</x:v>
      </x:c>
      <x:c r="C1" s="13" t="str">
        <x:v>Predicted comm ms</x:v>
      </x:c>
      <x:c r="D1" s="13" t="str">
        <x:v>Exposed share</x:v>
      </x:c>
      <x:c r="E1" s="13" t="str">
        <x:v>Deadline ms</x:v>
      </x:c>
      <x:c r="F1" s="13" t="str">
        <x:v>Required effective GB/s</x:v>
      </x:c>
      <x:c r="G1" s="13" t="str">
        <x:v>Required line Gb/s</x:v>
      </x:c>
      <x:c r="H1" s="13" t="str">
        <x:v>Finite?</x:v>
      </x:c>
    </x:row>
    <x:row r="2">
      <x:c r="A2" s="38" t="n">
        <x:v>0.4</x:v>
      </x:c>
      <x:c r="B2" t="n">
        <x:f>LATENCY!B3*A2</x:f>
        <x:v>40</x:v>
      </x:c>
      <x:c r="C2" t="n">
        <x:f>LATENCY!B6+IF(B2&gt;0,COLLECTIVES!B10/(B2*1E9)*1000,0)</x:f>
        <x:v>53.1002304</x:v>
      </x:c>
      <x:c r="D2" s="40" t="n">
        <x:f>IF(WORKLOAD!B8+C2&gt;0,C2/(WORKLOAD!B8+C2),0)</x:f>
        <x:v>0.1643459997978386</x:v>
      </x:c>
      <x:c r="E2" t="n">
        <x:v>1</x:v>
      </x:c>
      <x:c r="F2" t="n">
        <x:f>IF(E2&gt;LATENCY!B6,COLLECTIVES!B10/((E2-LATENCY!B6)/1000)/1E9,0)</x:f>
        <x:v>2826.108577540107</x:v>
      </x:c>
      <x:c r="G2" t="n">
        <x:f>IF(AND(F2&gt;0,HARDWARE!B8&gt;0),F2/HARDWARE!B8*8,0)</x:f>
        <x:v>28261.08577540107</x:v>
      </x:c>
      <x:c r="H2" t="str">
        <x:f>IF(E2&gt;LATENCY!B6,"FINITE","NO FINITE BANDWIDTH")</x:f>
        <x:v>FINITE</x:v>
      </x:c>
    </x:row>
    <x:row r="3">
      <x:c r="A3" s="38" t="n">
        <x:v>0.6</x:v>
      </x:c>
      <x:c r="B3" t="n">
        <x:f>LATENCY!B3*A3</x:f>
        <x:v>60</x:v>
      </x:c>
      <x:c r="C3" t="n">
        <x:f>LATENCY!B6+IF(B3&gt;0,COLLECTIVES!B10/(B3*1E9)*1000,0)</x:f>
        <x:v>35.484153600000006</x:v>
      </x:c>
      <x:c r="D3" s="40" t="n">
        <x:f>IF(WORKLOAD!B8+C3&gt;0,C3/(WORKLOAD!B8+C3),0)</x:f>
        <x:v>0.1161571007262879</x:v>
      </x:c>
      <x:c r="E3" t="n">
        <x:v>5</x:v>
      </x:c>
      <x:c r="F3" t="n">
        <x:f>IF(E3&gt;LATENCY!B6,COLLECTIVES!B10/((E3-LATENCY!B6)/1000)/1E9,0)</x:f>
        <x:v>445.2251929233361</x:v>
      </x:c>
      <x:c r="G3" t="n">
        <x:f>IF(AND(F3&gt;0,HARDWARE!B8&gt;0),F3/HARDWARE!B8*8,0)</x:f>
        <x:v>4452.251929233361</x:v>
      </x:c>
      <x:c r="H3" t="str">
        <x:f>IF(E3&gt;LATENCY!B6,"FINITE","NO FINITE BANDWIDTH")</x:f>
        <x:v>FINITE</x:v>
      </x:c>
    </x:row>
    <x:row r="4">
      <x:c r="A4" s="38" t="n">
        <x:v>0.8</x:v>
      </x:c>
      <x:c r="B4" t="n">
        <x:f>LATENCY!B3*A4</x:f>
        <x:v>80</x:v>
      </x:c>
      <x:c r="C4" t="n">
        <x:f>LATENCY!B6+IF(B4&gt;0,COLLECTIVES!B10/(B4*1E9)*1000,0)</x:f>
        <x:v>26.676115199999998</x:v>
      </x:c>
      <x:c r="D4" s="40" t="n">
        <x:f>IF(WORKLOAD!B8+C4&gt;0,C4/(WORKLOAD!B8+C4),0)</x:f>
        <x:v>0.0899166256846011</x:v>
      </x:c>
      <x:c r="E4" t="n">
        <x:v>10</x:v>
      </x:c>
      <x:c r="F4" t="n">
        <x:f>IF(E4&gt;LATENCY!B6,COLLECTIVES!B10/((E4-LATENCY!B6)/1000)/1E9,0)</x:f>
        <x:v>216.85773656134592</x:v>
      </x:c>
      <x:c r="G4" t="n">
        <x:f>IF(AND(F4&gt;0,HARDWARE!B8&gt;0),F4/HARDWARE!B8*8,0)</x:f>
        <x:v>2168.577365613459</x:v>
      </x:c>
      <x:c r="H4" t="str">
        <x:f>IF(E4&gt;LATENCY!B6,"FINITE","NO FINITE BANDWIDTH")</x:f>
        <x:v>FINITE</x:v>
      </x:c>
    </x:row>
    <x:row r="5">
      <x:c r="A5" s="38" t="n">
        <x:v>1</x:v>
      </x:c>
      <x:c r="B5" t="n">
        <x:f>LATENCY!B3*A5</x:f>
        <x:v>100</x:v>
      </x:c>
      <x:c r="C5" t="n">
        <x:f>LATENCY!B6+IF(B5&gt;0,COLLECTIVES!B10/(B5*1E9)*1000,0)</x:f>
        <x:v>21.39129216</x:v>
      </x:c>
      <x:c r="D5" s="40" t="n">
        <x:f>IF(WORKLOAD!B8+C5&gt;0,C5/(WORKLOAD!B8+C5),0)</x:f>
        <x:v>0.07341088335698878</x:v>
      </x:c>
      <x:c r="E5" t="n">
        <x:v>20</x:v>
      </x:c>
      <x:c r="F5" t="n">
        <x:f>IF(E5&gt;LATENCY!B6,COLLECTIVES!B10/((E5-LATENCY!B6)/1000)/1E9,0)</x:f>
        <x:v>107.045230706907</x:v>
      </x:c>
      <x:c r="G5" t="n">
        <x:f>IF(AND(F5&gt;0,HARDWARE!B8&gt;0),F5/HARDWARE!B8*8,0)</x:f>
        <x:v>1070.45230706907</x:v>
      </x:c>
      <x:c r="H5" t="str">
        <x:f>IF(E5&gt;LATENCY!B6,"FINITE","NO FINITE BANDWIDTH")</x:f>
        <x:v>FINITE</x:v>
      </x:c>
    </x:row>
    <x:row r="6">
      <x:c r="E6" t="n">
        <x:v>30</x:v>
      </x:c>
      <x:c r="F6" t="n">
        <x:f>IF(E6&gt;LATENCY!B6,COLLECTIVES!B10/((E6-LATENCY!B6)/1000)/1E9,0)</x:f>
        <x:v>71.06122146026624</x:v>
      </x:c>
      <x:c r="G6" t="n">
        <x:f>IF(AND(F6&gt;0,HARDWARE!B8&gt;0),F6/HARDWARE!B8*8,0)</x:f>
        <x:v>710.6122146026623</x:v>
      </x:c>
      <x:c r="H6" t="str">
        <x:f>IF(E6&gt;LATENCY!B6,"FINITE","NO FINITE BANDWIDTH")</x:f>
        <x:v>FINITE</x:v>
      </x:c>
    </x:row>
    <x:row r="7">
      <x:c r="E7" t="n">
        <x:v>40</x:v>
      </x:c>
      <x:c r="F7" t="n">
        <x:f>IF(E7&gt;LATENCY!B6,COLLECTIVES!B10/((E7-LATENCY!B6)/1000)/1E9,0)</x:f>
        <x:v>53.18328509610547</x:v>
      </x:c>
      <x:c r="G7" t="n">
        <x:f>IF(AND(F7&gt;0,HARDWARE!B8&gt;0),F7/HARDWARE!B8*8,0)</x:f>
        <x:v>531.8328509610546</x:v>
      </x:c>
      <x:c r="H7" t="str">
        <x:f>IF(E7&gt;LATENCY!B6,"FINITE","NO FINITE BANDWIDTH")</x:f>
        <x:v>FINITE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46" hidden="0" customWidth="1"/>
    <x:col min="4" max="4" width="82" hidden="0" customWidth="1"/>
    <x:col min="5" max="5" width="15" hidden="0" customWidth="1"/>
    <x:col min="6" max="6" width="64" hidden="0" customWidth="1"/>
    <x:col min="7" max="7" width="64" hidden="0" customWidth="1"/>
  </x:cols>
  <x:sheetData>
    <x:row r="1">
      <x:c r="A1" s="18" t="str">
        <x:v>ID</x:v>
      </x:c>
      <x:c r="B1" s="18" t="str">
        <x:v>Organization</x:v>
      </x:c>
      <x:c r="C1" s="18" t="str">
        <x:v>Document</x:v>
      </x:c>
      <x:c r="D1" s="18" t="str">
        <x:v>URL</x:v>
      </x:c>
      <x:c r="E1" s="18" t="str">
        <x:v>Accessed</x:v>
      </x:c>
      <x:c r="F1" s="18" t="str">
        <x:v>Supports</x:v>
      </x:c>
      <x:c r="G1" s="18" t="str">
        <x:v>Limitations</x:v>
      </x:c>
    </x:row>
    <x:row r="2">
      <x:c r="A2" s="17" t="str">
        <x:v>S01</x:v>
      </x:c>
      <x:c r="B2" s="17" t="str">
        <x:v>NVIDIA</x:v>
      </x:c>
      <x:c r="C2" s="17" t="str">
        <x:v>HGX AI Factory — Components</x:v>
      </x:c>
      <x:c r="D2" s="17" t="str">
        <x:v>https://docs.nvidia.com/enterprise-reference-architectures/hgx-ai-factory/latest/components.html</x:v>
      </x:c>
      <x:c r="E2" s="17" t="str">
        <x:v>2026-08-10</x:v>
      </x:c>
      <x:c r="F2" s="17" t="str">
        <x:v>HGX B300 GPU/NIC counts, ConnectX-8 and NVLink values</x:v>
      </x:c>
      <x:c r="G2" s="17" t="str">
        <x:v>Some aggregate network GB/s wording requires reconciliation.</x:v>
      </x:c>
    </x:row>
    <x:row r="3">
      <x:c r="A3" s="17" t="str">
        <x:v>S02</x:v>
      </x:c>
      <x:c r="B3" s="17" t="str">
        <x:v>NVIDIA</x:v>
      </x:c>
      <x:c r="C3" s="17" t="str">
        <x:v>HGX AI Factory — Networking Logical Architecture</x:v>
      </x:c>
      <x:c r="D3" s="17" t="str">
        <x:v>https://docs.nvidia.com/enterprise-reference-architectures/hgx-ai-factory/latest/network-logical-architecture.html</x:v>
      </x:c>
      <x:c r="E3" s="17" t="str">
        <x:v>2026-08-10</x:v>
      </x:c>
      <x:c r="F3" s="17" t="str">
        <x:v>8 GPUs, 8 ConnectX-8, 2×400 breakout, dual-plane rail-optimized fabric</x:v>
      </x:c>
      <x:c r="G3" s="17" t="str">
        <x:v>Reference design, not only valid topology.</x:v>
      </x:c>
    </x:row>
    <x:row r="4">
      <x:c r="A4" s="17" t="str">
        <x:v>S03</x:v>
      </x:c>
      <x:c r="B4" s="17" t="str">
        <x:v>NVIDIA</x:v>
      </x:c>
      <x:c r="C4" s="17" t="str">
        <x:v>NVL72 AI Factory — Components</x:v>
      </x:c>
      <x:c r="D4" s="17" t="str">
        <x:v>https://docs.nvidia.com/enterprise-reference-architectures/nvl72-ai-factory/latest/components.html</x:v>
      </x:c>
      <x:c r="E4" s="17" t="str">
        <x:v>2026-08-10</x:v>
      </x:c>
      <x:c r="F4" s="17" t="str">
        <x:v>72 GPUs, 9 NVSwitch trays, 130 TB/s aggregate NVLink</x:v>
      </x:c>
      <x:c r="G4" s="17" t="str">
        <x:v>Scale-up aggregate not scale-out throughput.</x:v>
      </x:c>
    </x:row>
    <x:row r="5">
      <x:c r="A5" s="17" t="str">
        <x:v>S04</x:v>
      </x:c>
      <x:c r="B5" s="17" t="str">
        <x:v>NVIDIA</x:v>
      </x:c>
      <x:c r="C5" s="17" t="str">
        <x:v>NVL72 AI Factory — Networking Logical Architecture</x:v>
      </x:c>
      <x:c r="D5" s="17" t="str">
        <x:v>https://docs.nvidia.com/enterprise-reference-architectures/nvl72-ai-factory/latest/network-logical-architecture.html</x:v>
      </x:c>
      <x:c r="E5" s="17" t="str">
        <x:v>2026-08-10</x:v>
      </x:c>
      <x:c r="F5" s="17" t="str">
        <x:v>72-GPU L1 domain, 900/1800 GB/s NVLink per GPU, 72 ConnectX-8, dual plane</x:v>
      </x:c>
      <x:c r="G5" s="17" t="str">
        <x:v>Reference architecture; topology-specific.</x:v>
      </x:c>
    </x:row>
    <x:row r="6">
      <x:c r="A6" s="17" t="str">
        <x:v>S05</x:v>
      </x:c>
      <x:c r="B6" s="17" t="str">
        <x:v>NVIDIA</x:v>
      </x:c>
      <x:c r="C6" s="17" t="str">
        <x:v>ConnectX-8 User Manual — Port Configurations</x:v>
      </x:c>
      <x:c r="D6" s="17" t="str">
        <x:v>https://networking-docs.nvidia.com/connectx8hw/port-configurations</x:v>
      </x:c>
      <x:c r="E6" s="17" t="str">
        <x:v>2026-08-10</x:v>
      </x:c>
      <x:c r="F6" s="17" t="str">
        <x:v>800 Gb/s and 2×400GbE configurations</x:v>
      </x:c>
      <x:c r="G6" s="17" t="str">
        <x:v>Line rate, not useful collective payload.</x:v>
      </x:c>
    </x:row>
    <x:row r="7">
      <x:c r="A7" s="17" t="str">
        <x:v>S06</x:v>
      </x:c>
      <x:c r="B7" s="17" t="str">
        <x:v>NVIDIA</x:v>
      </x:c>
      <x:c r="C7" s="17" t="str">
        <x:v>NCCL User Guide — Collective Operations</x:v>
      </x:c>
      <x:c r="D7" s="17" t="str">
        <x:v>https://docs.nvidia.com/deeplearning/nccl/user-guide/docs/usage/collectives.html</x:v>
      </x:c>
      <x:c r="E7" s="17" t="str">
        <x:v>2026-08-10</x:v>
      </x:c>
      <x:c r="F7" s="17" t="str">
        <x:v>AllReduce, AllGather, ReduceScatter, AlltoAll semantics</x:v>
      </x:c>
      <x:c r="G7" s="17" t="str">
        <x:v>Operation semantics, not claim of ring implementation.</x:v>
      </x:c>
    </x:row>
    <x:row r="8">
      <x:c r="A8" s="17" t="str">
        <x:v>S07</x:v>
      </x:c>
      <x:c r="B8" s="17" t="str">
        <x:v>NVIDIA</x:v>
      </x:c>
      <x:c r="C8" s="17" t="str">
        <x:v>NCCL User Guide — Environment Variables / NCCL_ALGO</x:v>
      </x:c>
      <x:c r="D8" s="17" t="str">
        <x:v>https://docs.nvidia.com/deeplearning/nccl/user-guide/docs/env.html</x:v>
      </x:c>
      <x:c r="E8" s="17" t="str">
        <x:v>2026-08-10</x:v>
      </x:c>
      <x:c r="F8" s="17" t="str">
        <x:v>NCCL supports/selects Ring, Tree, CollNet, NVLS, PAT etc.</x:v>
      </x:c>
      <x:c r="G8" s="17" t="str">
        <x:v>Algorithm availability depends on NCCL version/topology.</x:v>
      </x:c>
    </x:row>
    <x:row r="9">
      <x:c r="A9" s="17" t="str">
        <x:v>S08</x:v>
      </x:c>
      <x:c r="B9" s="17" t="str">
        <x:v>NVIDIA</x:v>
      </x:c>
      <x:c r="C9" s="17" t="str">
        <x:v>Quantum-X800 InfiniBand</x:v>
      </x:c>
      <x:c r="D9" s="17" t="str">
        <x:v>https://www.nvidia.com/en-in/networking/products/infiniband/quantum-x800/</x:v>
      </x:c>
      <x:c r="E9" s="17" t="str">
        <x:v>2026-08-10</x:v>
      </x:c>
      <x:c r="F9" s="17" t="str">
        <x:v>800 Gb/s InfiniBand platform reference</x:v>
      </x:c>
      <x:c r="G9" s="17" t="str">
        <x:v>No vendor/transport winner inferred.</x:v>
      </x:c>
    </x:row>
    <x:row r="10">
      <x:c r="A10" s="17" t="str">
        <x:v>S09</x:v>
      </x:c>
      <x:c r="B10" s="17" t="str">
        <x:v>NVIDIA</x:v>
      </x:c>
      <x:c r="C10" s="17" t="str">
        <x:v>Megatron Core Tensor Parallel API</x:v>
      </x:c>
      <x:c r="D10" s="17" t="str">
        <x:v>https://docs.nvidia.com/megatron-core/developer-guide/latest/api-guide/tensor_parallel.html</x:v>
      </x:c>
      <x:c r="E10" s="17" t="str">
        <x:v>2026-08-10</x:v>
      </x:c>
      <x:c r="F10" s="17" t="str">
        <x:v>Examples of all-reduce/all-gather/reduce-scatter/all-to-all in model parallel mappings</x:v>
      </x:c>
      <x:c r="G10" s="17" t="str">
        <x:v>Framework-specific examples, not universal traffic formula.</x:v>
      </x:c>
    </x:row>
    <x:row r="11">
      <x:c r="A11" s="17" t="str">
        <x:v>S10</x:v>
      </x:c>
      <x:c r="B11" s="17" t="str">
        <x:v>Patarasuk &amp; Yuan</x:v>
      </x:c>
      <x:c r="C11" s="17" t="str">
        <x:v>Bandwidth optimal all-reduce algorithms for clusters of workstations</x:v>
      </x:c>
      <x:c r="D11" s="17" t="str">
        <x:v>https://www.sciencedirect.com/science/article/pii/S0743731508001767</x:v>
      </x:c>
      <x:c r="E11" s="17" t="str">
        <x:v>2026-08-10</x:v>
      </x:c>
      <x:c r="F11" s="17" t="str">
        <x:v>Original ring all-reduce algorithm/paper reference</x:v>
      </x:c>
      <x:c r="G11" s="17" t="str">
        <x:v>Analytical algorithm basis; modern NCCL can select other algorithms.</x:v>
      </x:c>
    </x:row>
    <x:row r="12">
      <x:c r="A12" s="17"/>
      <x:c r="B12" s="17"/>
      <x:c r="C12" s="17"/>
      <x:c r="D12" s="17"/>
      <x:c r="E12" s="17"/>
      <x:c r="F12" s="17"/>
      <x:c r="G12" s="17"/>
    </x:row>
    <x:row r="13">
      <x:c r="A13" s="17"/>
      <x:c r="B13" s="17"/>
      <x:c r="C13" s="17"/>
      <x:c r="D13" s="17"/>
      <x:c r="E13" s="17"/>
      <x:c r="F13" s="17"/>
      <x:c r="G13" s="17"/>
    </x:row>
    <x:row r="14">
      <x:c r="A14" s="17"/>
      <x:c r="B14" s="17"/>
      <x:c r="C14" s="17"/>
      <x:c r="D14" s="17"/>
      <x:c r="E14" s="17"/>
      <x:c r="F14" s="17"/>
      <x:c r="G14" s="17"/>
    </x:row>
  </x:sheetData>
  <x:pageMargins left="0.7" right="0.7" top="0.75" bottom="0.75" header="0.3" footer="0.3"/>
</x:worksheet>
</file>