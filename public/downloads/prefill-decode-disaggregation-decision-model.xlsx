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1690971f174740" /></Relationships>
</file>

<file path=xl/workbook.xml><?xml version="1.0" encoding="utf-8"?>
<x:workbook xmlns:x="http://schemas.openxmlformats.org/spreadsheetml/2006/main">
  <x:sheets>
    <x:sheet xmlns:r="http://schemas.openxmlformats.org/officeDocument/2006/relationships" name="README" sheetId="1" r:id="Rd3e5be3573034791"/>
    <x:sheet xmlns:r="http://schemas.openxmlformats.org/officeDocument/2006/relationships" name="WORKLOAD" sheetId="2" r:id="R4b6d180dc03c4a95"/>
    <x:sheet xmlns:r="http://schemas.openxmlformats.org/officeDocument/2006/relationships" name="AGGREGATED" sheetId="3" r:id="R85b09edb875047ae"/>
    <x:sheet xmlns:r="http://schemas.openxmlformats.org/officeDocument/2006/relationships" name="PREFILL" sheetId="4" r:id="Rc2f254284e034cc9"/>
    <x:sheet xmlns:r="http://schemas.openxmlformats.org/officeDocument/2006/relationships" name="DECODE" sheetId="5" r:id="R230cedc19e8d45e4"/>
    <x:sheet xmlns:r="http://schemas.openxmlformats.org/officeDocument/2006/relationships" name="KV_TRANSFER" sheetId="6" r:id="R6f58493e15fe4862"/>
    <x:sheet xmlns:r="http://schemas.openxmlformats.org/officeDocument/2006/relationships" name="ALLOCATION" sheetId="7" r:id="R28cf86fcc72c4227"/>
    <x:sheet xmlns:r="http://schemas.openxmlformats.org/officeDocument/2006/relationships" name="SLO" sheetId="8" r:id="R2ed7654d02674ceb"/>
    <x:sheet xmlns:r="http://schemas.openxmlformats.org/officeDocument/2006/relationships" name="ECONOMICS" sheetId="9" r:id="R769e4e1d59ae4c6f"/>
    <x:sheet xmlns:r="http://schemas.openxmlformats.org/officeDocument/2006/relationships" name="SENSITIVITY" sheetId="10" r:id="R75118dc1b5c44277"/>
    <x:sheet xmlns:r="http://schemas.openxmlformats.org/officeDocument/2006/relationships" name="SOURCES" sheetId="11" r:id="R0c6eb43287b040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
    <x:numFmt numFmtId="203" formatCode="0.0%"/>
  </x:numFmts>
  <x:fonts count="6">
    <x:font>
      <x:sz val="11"/>
      <x:name val="Carlito"/>
    </x:font>
    <x:font>
      <x:b/>
      <x:sz val="16"/>
      <x:color rgb="FFFFFFFF"/>
      <x:name val="Carlito"/>
    </x:font>
    <x:font>
      <x:i/>
      <x:sz val="11"/>
      <x:color rgb="FF11110F"/>
      <x:name val="Carlito"/>
    </x:font>
    <x:font>
      <x:b/>
      <x:sz val="11"/>
      <x:color rgb="FFFFFFFF"/>
      <x:name val="Carlito"/>
    </x:font>
    <x:font>
      <x:b/>
      <x:sz val="11"/>
      <x:color rgb="FF11110F"/>
      <x:name val="Carlito"/>
    </x:font>
    <x:font>
      <x:sz val="11"/>
      <x:color rgb="FF11110F"/>
      <x:name val="Carlito"/>
    </x:font>
  </x:fonts>
  <x:fills count="7">
    <x:fill>
      <x:patternFill patternType="none"/>
    </x:fill>
    <x:fill>
      <x:patternFill patternType="gray125"/>
    </x:fill>
    <x:fill>
      <x:patternFill patternType="solid">
        <x:fgColor rgb="FF11110F"/>
      </x:patternFill>
    </x:fill>
    <x:fill>
      <x:patternFill patternType="solid">
        <x:fgColor rgb="FFF2EFE7"/>
      </x:patternFill>
    </x:fill>
    <x:fill>
      <x:patternFill patternType="solid">
        <x:fgColor rgb="FFFFF4D6"/>
      </x:patternFill>
    </x:fill>
    <x:fill>
      <x:patternFill patternType="solid">
        <x:fgColor rgb="FFFFFDF6"/>
      </x:patternFill>
    </x:fill>
    <x:fill>
      <x:patternFill patternType="solid">
        <x:fgColor rgb="FFEEF3FF"/>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x:xf numFmtId="0" fontId="3" fillId="2"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x:xf numFmtId="0" fontId="5" fillId="4" borderId="1" xfId="0" applyNumberFormat="1" applyFont="1" applyFill="1" applyBorder="1" applyAlignment="1">
      <x:alignment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4"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4"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200" fontId="0" fillId="5" borderId="0" xfId="0" applyNumberFormat="1" applyFont="1" applyFill="1" applyBorder="1"/>
    <x:xf numFmtId="200" fontId="0" fillId="5" borderId="1" xfId="0" applyNumberFormat="1" applyFont="1" applyFill="1" applyBorder="1"/>
    <x:xf numFmtId="0"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0" fontId="0" fillId="5"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201" fontId="0" fillId="6" borderId="0" xfId="0" applyNumberFormat="1" applyFont="1" applyFill="1" applyBorder="1"/>
    <x:xf numFmtId="201" fontId="0" fillId="6" borderId="1" xfId="0" applyNumberFormat="1" applyFont="1" applyFill="1" applyBorder="1"/>
    <x:xf numFmtId="202" fontId="0" fillId="6" borderId="0" xfId="0" applyNumberFormat="1" applyFont="1" applyFill="1" applyBorder="1"/>
    <x:xf numFmtId="202" fontId="0" fillId="6" borderId="1" xfId="0" applyNumberFormat="1" applyFont="1" applyFill="1" applyBorder="1"/>
    <x:xf numFmtId="0" fontId="0" fillId="6" borderId="0" xfId="0" applyNumberFormat="1" applyFont="1" applyFill="1" applyBorder="1" applyAlignment="1">
      <x:alignment wrapText="1"/>
    </x:xf>
    <x:xf numFmtId="201" fontId="0" fillId="6" borderId="0" xfId="0" applyNumberFormat="1" applyFont="1" applyFill="1" applyBorder="1" applyAlignment="1">
      <x:alignment wrapText="1"/>
    </x:xf>
    <x:xf numFmtId="202"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201" fontId="0" fillId="6" borderId="1" xfId="0" applyNumberFormat="1" applyFont="1" applyFill="1" applyBorder="1" applyAlignment="1">
      <x:alignment wrapText="1"/>
    </x:xf>
    <x:xf numFmtId="202" fontId="0" fillId="6"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d35637f6254c27" /><Relationship Type="http://schemas.openxmlformats.org/officeDocument/2006/relationships/theme" Target="/xl/theme/theme1.xml" Id="R766b612824814795" /><Relationship Type="http://schemas.openxmlformats.org/officeDocument/2006/relationships/sharedStrings" Target="/xl/sharedStrings.xml" Id="Rb0a53af0bf604158" /><Relationship Type="http://schemas.openxmlformats.org/officeDocument/2006/relationships/worksheet" Target="/xl/worksheets/sheet1.xml" Id="Rd3e5be3573034791" /><Relationship Type="http://schemas.openxmlformats.org/officeDocument/2006/relationships/worksheet" Target="/xl/worksheets/sheet2.xml" Id="R4b6d180dc03c4a95" /><Relationship Type="http://schemas.openxmlformats.org/officeDocument/2006/relationships/worksheet" Target="/xl/worksheets/sheet3.xml" Id="R85b09edb875047ae" /><Relationship Type="http://schemas.openxmlformats.org/officeDocument/2006/relationships/worksheet" Target="/xl/worksheets/sheet4.xml" Id="Rc2f254284e034cc9" /><Relationship Type="http://schemas.openxmlformats.org/officeDocument/2006/relationships/worksheet" Target="/xl/worksheets/sheet5.xml" Id="R230cedc19e8d45e4" /><Relationship Type="http://schemas.openxmlformats.org/officeDocument/2006/relationships/worksheet" Target="/xl/worksheets/sheet6.xml" Id="R6f58493e15fe4862" /><Relationship Type="http://schemas.openxmlformats.org/officeDocument/2006/relationships/worksheet" Target="/xl/worksheets/sheet7.xml" Id="R28cf86fcc72c4227" /><Relationship Type="http://schemas.openxmlformats.org/officeDocument/2006/relationships/worksheet" Target="/xl/worksheets/sheet8.xml" Id="R2ed7654d02674ceb" /><Relationship Type="http://schemas.openxmlformats.org/officeDocument/2006/relationships/worksheet" Target="/xl/worksheets/sheet9.xml" Id="R769e4e1d59ae4c6f" /><Relationship Type="http://schemas.openxmlformats.org/officeDocument/2006/relationships/worksheet" Target="/xl/worksheets/sheet10.xml" Id="R75118dc1b5c44277" /><Relationship Type="http://schemas.openxmlformats.org/officeDocument/2006/relationships/worksheet" Target="/xl/worksheets/sheet11.xml" Id="R0c6eb43287b040b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96" hidden="0" customWidth="1"/>
  </x:cols>
  <x:sheetData>
    <x:row r="1">
      <x:c r="A1" s="24" t="str">
        <x:v>SECOND / PASS — Prefill/Decode Disaggregation Decision Model</x:v>
      </x:c>
      <x:c r="B1" s="25"/>
    </x:row>
    <x:row r="2">
      <x:c r="A2" s="25"/>
      <x:c r="B2" s="25"/>
    </x:row>
    <x:row r="3">
      <x:c r="A3" s="8" t="str">
        <x:v>Formula-driven architecture screen for aggregated versus disaggregated LLM serving. Capacities, latency outcomes, SLO success rates, GPU prices and transfer measurements are inputs. The workbook does not derive universal phase capacity from FLOPs and does not recommend disaggregation when required inputs are missing.</x:v>
      </x:c>
      <x:c r="B3" s="25"/>
    </x:row>
    <x:row r="4">
      <x:c r="A4" s="25"/>
      <x:c r="B4" s="25"/>
    </x:row>
    <x:row r="5">
      <x:c r="A5" s="25"/>
      <x:c r="B5" s="25"/>
    </x:row>
    <x:row r="6">
      <x:c r="A6" s="25"/>
      <x:c r="B6" s="25"/>
    </x:row>
    <x:row r="7">
      <x:c r="A7" s="26" t="str">
        <x:v>Sheet</x:v>
      </x:c>
      <x:c r="B7" s="26" t="str">
        <x:v>Purpose</x:v>
      </x:c>
    </x:row>
    <x:row r="8">
      <x:c r="A8" s="25" t="str">
        <x:v>WORKLOAD</x:v>
      </x:c>
      <x:c r="B8" s="25" t="str">
        <x:v>Traffic distribution, SLO, measured/scenario capacities, topology, KV transfer and cost inputs</x:v>
      </x:c>
    </x:row>
    <x:row r="9">
      <x:c r="A9" s="25" t="str">
        <x:v>AGGREGATED</x:v>
      </x:c>
      <x:c r="B9" s="25" t="str">
        <x:v>Required aggregated workers/GPUs, utilization and SLO feasibility</x:v>
      </x:c>
    </x:row>
    <x:row r="10">
      <x:c r="A10" s="25" t="str">
        <x:v>PREFILL</x:v>
      </x:c>
      <x:c r="B10" s="25" t="str">
        <x:v>Prefill worker requirement and utilization</x:v>
      </x:c>
    </x:row>
    <x:row r="11">
      <x:c r="A11" s="25" t="str">
        <x:v>DECODE</x:v>
      </x:c>
      <x:c r="B11" s="25" t="str">
        <x:v>Decode worker requirement and utilization</x:v>
      </x:c>
    </x:row>
    <x:row r="12">
      <x:c r="A12" s="25" t="str">
        <x:v>KV_TRANSFER</x:v>
      </x:c>
      <x:c r="B12" s="25" t="str">
        <x:v>Transfer lower bound, exposed handoff, bandwidth budget and latency break-even</x:v>
      </x:c>
    </x:row>
    <x:row r="13">
      <x:c r="A13" s="25" t="str">
        <x:v>ALLOCATION</x:v>
      </x:c>
      <x:c r="B13" s="25" t="str">
        <x:v>xP:yD sizing, continuous work-demand split and worker-granularity overhead</x:v>
      </x:c>
    </x:row>
    <x:row r="14">
      <x:c r="A14" s="25" t="str">
        <x:v>SLO</x:v>
      </x:c>
      <x:c r="B14" s="25" t="str">
        <x:v>SLO goodput and GPU-normalized SLO goodput</x:v>
      </x:c>
    </x:row>
    <x:row r="15">
      <x:c r="A15" s="25" t="str">
        <x:v>ECONOMICS</x:v>
      </x:c>
      <x:c r="B15" s="25" t="str">
        <x:v>Cost/hour, cost per SLO completion, same-GPU and same-SLO comparisons, recommendation</x:v>
      </x:c>
    </x:row>
    <x:row r="16">
      <x:c r="A16" s="25" t="str">
        <x:v>SENSITIVITY</x:v>
      </x:c>
      <x:c r="B16" s="25" t="str">
        <x:v>Arrival-rate granularity and KV-bandwidth sensitivity</x:v>
      </x:c>
    </x:row>
    <x:row r="17">
      <x:c r="A17" s="25" t="str">
        <x:v>SOURCES</x:v>
      </x:c>
      <x:c r="B17" s="25" t="str">
        <x:v>Current primary/official documentation used for architecture claims</x:v>
      </x:c>
    </x:row>
    <x:row r="18">
      <x:c r="A18" s="25"/>
      <x:c r="B18" s="25"/>
    </x:row>
    <x:row r="19">
      <x:c r="A19" s="25"/>
      <x:c r="B19" s="25"/>
    </x:row>
    <x:row r="20">
      <x:c r="A20" s="27" t="str">
        <x:v>MANDATORY WARNING</x:v>
      </x:c>
      <x:c r="B20" s="21" t="str">
        <x:v>Capacity inputs must be measured or explicitly scenario-labeled for the defined model/GPU/backend/ISL/OSL/SLO.</x:v>
      </x:c>
    </x:row>
    <x:row r="21">
      <x:c r="A21" s="27" t="str">
        <x:v>MANDATORY WARNING</x:v>
      </x:c>
      <x:c r="B21" s="21" t="str">
        <x:v>Disaggregation is not automatically faster; compare phase-isolation benefit with exposed KV/routing overhead.</x:v>
      </x:c>
    </x:row>
    <x:row r="22">
      <x:c r="A22" s="27" t="str">
        <x:v>MANDATORY WARNING</x:v>
      </x:c>
      <x:c r="B22" s="21" t="str">
        <x:v>KV transfer bandwidth &lt;=0 or budget &lt;= fixed latency cannot produce a finite bandwidth solution.</x:v>
      </x:c>
    </x:row>
    <x:row r="23">
      <x:c r="A23" s="27" t="str">
        <x:v>MANDATORY WARNING</x:v>
      </x:c>
      <x:c r="B23" s="21" t="str">
        <x:v>Worker granularity is real: ceil() can make low-load disaggregation much more expensive.</x:v>
      </x:c>
    </x:row>
    <x:row r="24">
      <x:c r="A24" s="27" t="str">
        <x:v>MANDATORY WARNING</x:v>
      </x:c>
      <x:c r="B24" s="21" t="str">
        <x:v>Recommendation stays INSUFFICIENT INPUT when required capacity/SLO/transfer data are missing.</x:v>
      </x:c>
    </x:row>
    <x:row r="25">
      <x:c r="A25" s="25"/>
      <x:c r="B25" s="25"/>
    </x:row>
    <x:row r="26">
      <x:c r="A26" s="25"/>
      <x:c r="B26" s="25"/>
    </x:row>
    <x:row r="27">
      <x:c r="A27" s="25"/>
      <x:c r="B27" s="25"/>
    </x:row>
    <x:row r="28">
      <x:c r="A28" s="25"/>
      <x:c r="B28" s="25"/>
    </x:row>
  </x:sheetData>
  <x:mergeCells>
    <x:mergeCell ref="A1:F1"/>
    <x:mergeCell ref="A3:F5"/>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28" hidden="0" customWidth="1"/>
    <x:col min="3" max="3" width="22" hidden="0" customWidth="1"/>
    <x:col min="4" max="4" width="22" hidden="0" customWidth="1"/>
    <x:col min="5" max="5" width="80" hidden="0" customWidth="1"/>
  </x:cols>
  <x:sheetData>
    <x:row r="1">
      <x:c r="A1" s="26" t="str">
        <x:v>Input</x:v>
      </x:c>
      <x:c r="B1" s="26" t="str">
        <x:v>Value</x:v>
      </x:c>
      <x:c r="C1" s="26" t="str">
        <x:v>Unit</x:v>
      </x:c>
      <x:c r="D1" s="26" t="str">
        <x:v>Type</x:v>
      </x:c>
      <x:c r="E1" s="26" t="str">
        <x:v>Note</x:v>
      </x:c>
    </x:row>
    <x:row r="2">
      <x:c r="A2" s="25" t="str">
        <x:v>Model</x:v>
      </x:c>
      <x:c r="B2" s="36" t="str">
        <x:v>Qwen/Qwen3-32B-FP8</x:v>
      </x:c>
      <x:c r="C2" s="25" t="str"/>
      <x:c r="D2" s="25" t="str">
        <x:v>SOURCE-ALIGNED SCENARIO</x:v>
      </x:c>
      <x:c r="E2" s="25" t="str">
        <x:v>Model/system pairing appears in current Dynamo AIConfigurator examples; performance values below remain scenario inputs.</x:v>
      </x:c>
    </x:row>
    <x:row r="3">
      <x:c r="A3" s="25" t="str">
        <x:v>GPU</x:v>
      </x:c>
      <x:c r="B3" s="36" t="str">
        <x:v>H200 SXM</x:v>
      </x:c>
      <x:c r="C3" s="25" t="str"/>
      <x:c r="D3" s="25" t="str">
        <x:v>SOURCE-ALIGNED SCENARIO</x:v>
      </x:c>
      <x:c r="E3" s="25" t="str">
        <x:v>GPU system used in current Dynamo sizing examples.</x:v>
      </x:c>
    </x:row>
    <x:row r="4">
      <x:c r="A4" s="25" t="str">
        <x:v>Backend</x:v>
      </x:c>
      <x:c r="B4" s="36" t="str">
        <x:v>vLLM</x:v>
      </x:c>
      <x:c r="C4" s="25" t="str"/>
      <x:c r="D4" s="25" t="str">
        <x:v>SOURCE-ALIGNED SCENARIO</x:v>
      </x:c>
      <x:c r="E4" s="25" t="str">
        <x:v>Current vLLM supports experimental disaggregated prefilling; Dynamo also supports vLLM disaggregation.</x:v>
      </x:c>
    </x:row>
    <x:row r="5">
      <x:c r="A5" s="25" t="str">
        <x:v>Precision</x:v>
      </x:c>
      <x:c r="B5" s="36" t="str">
        <x:v>FP8</x:v>
      </x:c>
      <x:c r="C5" s="25" t="str"/>
      <x:c r="D5" s="25" t="str">
        <x:v>SCENARIO</x:v>
      </x:c>
      <x:c r="E5" s="25" t="str">
        <x:v>Must match capacity measurements.</x:v>
      </x:c>
    </x:row>
    <x:row r="6">
      <x:c r="A6" s="25" t="str">
        <x:v>Arrival rate</x:v>
      </x:c>
      <x:c r="B6" s="36" t="n">
        <x:v>5.6</x:v>
      </x:c>
      <x:c r="C6" s="25" t="str">
        <x:v>requests/s</x:v>
      </x:c>
      <x:c r="D6" s="25" t="str">
        <x:v>SCENARIO</x:v>
      </x:c>
      <x:c r="E6" s="25" t="str">
        <x:v>Average incoming rate used for goodput/economics.</x:v>
      </x:c>
    </x:row>
    <x:row r="7">
      <x:c r="A7" s="25" t="str">
        <x:v>Burst factor</x:v>
      </x:c>
      <x:c r="B7" s="36" t="n">
        <x:v>1</x:v>
      </x:c>
      <x:c r="C7" s="25" t="str">
        <x:v>ratio</x:v>
      </x:c>
      <x:c r="D7" s="25" t="str">
        <x:v>SCENARIO</x:v>
      </x:c>
      <x:c r="E7" s="25" t="str">
        <x:v>Sizing lambda = arrival × burst factor.</x:v>
      </x:c>
    </x:row>
    <x:row r="8">
      <x:c r="A8" s="25" t="str">
        <x:v>ISL p50</x:v>
      </x:c>
      <x:c r="B8" s="36" t="n">
        <x:v>4000</x:v>
      </x:c>
      <x:c r="C8" s="25" t="str">
        <x:v>tokens</x:v>
      </x:c>
      <x:c r="D8" s="25" t="str">
        <x:v>SCENARIO</x:v>
      </x:c>
      <x:c r="E8" s="25" t="str">
        <x:v>Do not size solely from mean.</x:v>
      </x:c>
    </x:row>
    <x:row r="9">
      <x:c r="A9" s="25" t="str">
        <x:v>ISL p95</x:v>
      </x:c>
      <x:c r="B9" s="36" t="n">
        <x:v>8000</x:v>
      </x:c>
      <x:c r="C9" s="25" t="str">
        <x:v>tokens</x:v>
      </x:c>
      <x:c r="D9" s="25" t="str">
        <x:v>SCENARIO</x:v>
      </x:c>
      <x:c r="E9" s="25" t="str">
        <x:v>Workload shape for capacity/SLO interpretation.</x:v>
      </x:c>
    </x:row>
    <x:row r="10">
      <x:c r="A10" s="25" t="str">
        <x:v>OSL p50</x:v>
      </x:c>
      <x:c r="B10" s="36" t="n">
        <x:v>300</x:v>
      </x:c>
      <x:c r="C10" s="25" t="str">
        <x:v>tokens</x:v>
      </x:c>
      <x:c r="D10" s="25" t="str">
        <x:v>SCENARIO</x:v>
      </x:c>
      <x:c r="E10" s="25" t="str">
        <x:v>Output distribution.</x:v>
      </x:c>
    </x:row>
    <x:row r="11">
      <x:c r="A11" s="25" t="str">
        <x:v>OSL p95</x:v>
      </x:c>
      <x:c r="B11" s="36" t="n">
        <x:v>600</x:v>
      </x:c>
      <x:c r="C11" s="25" t="str">
        <x:v>tokens</x:v>
      </x:c>
      <x:c r="D11" s="25" t="str">
        <x:v>SCENARIO</x:v>
      </x:c>
      <x:c r="E11" s="25" t="str">
        <x:v>Output distribution.</x:v>
      </x:c>
    </x:row>
    <x:row r="12">
      <x:c r="A12" s="25" t="str">
        <x:v>TTFT SLA</x:v>
      </x:c>
      <x:c r="B12" s="36" t="n">
        <x:v>600</x:v>
      </x:c>
      <x:c r="C12" s="25" t="str">
        <x:v>ms</x:v>
      </x:c>
      <x:c r="D12" s="25" t="str">
        <x:v>SCENARIO</x:v>
      </x:c>
      <x:c r="E12" s="25" t="str">
        <x:v>Same SLA for both architectures.</x:v>
      </x:c>
    </x:row>
    <x:row r="13">
      <x:c r="A13" s="25" t="str">
        <x:v>TPOT SLA</x:v>
      </x:c>
      <x:c r="B13" s="36" t="n">
        <x:v>25</x:v>
      </x:c>
      <x:c r="C13" s="25" t="str">
        <x:v>ms/token</x:v>
      </x:c>
      <x:c r="D13" s="25" t="str">
        <x:v>SCENARIO</x:v>
      </x:c>
      <x:c r="E13" s="25" t="str">
        <x:v>Same SLA for both architectures.</x:v>
      </x:c>
    </x:row>
    <x:row r="14">
      <x:c r="A14" s="25" t="str">
        <x:v>Aggregated capacity mu_a</x:v>
      </x:c>
      <x:c r="B14" s="36" t="n">
        <x:v>2</x:v>
      </x:c>
      <x:c r="C14" s="25" t="str">
        <x:v>req/s/worker</x:v>
      </x:c>
      <x:c r="D14" s="25" t="str">
        <x:v>SCENARIO INPUT</x:v>
      </x:c>
      <x:c r="E14" s="25" t="str">
        <x:v>Measured or scenario capacity at stated workload shape.</x:v>
      </x:c>
    </x:row>
    <x:row r="15">
      <x:c r="A15" s="25" t="str">
        <x:v>Prefill capacity mu_p</x:v>
      </x:c>
      <x:c r="B15" s="36" t="n">
        <x:v>8</x:v>
      </x:c>
      <x:c r="C15" s="25" t="str">
        <x:v>req/s/worker</x:v>
      </x:c>
      <x:c r="D15" s="25" t="str">
        <x:v>SCENARIO INPUT</x:v>
      </x:c>
      <x:c r="E15" s="25" t="str">
        <x:v>Measured or scenario prefill capacity.</x:v>
      </x:c>
    </x:row>
    <x:row r="16">
      <x:c r="A16" s="25" t="str">
        <x:v>Decode capacity mu_d</x:v>
      </x:c>
      <x:c r="B16" s="36" t="n">
        <x:v>4</x:v>
      </x:c>
      <x:c r="C16" s="25" t="str">
        <x:v>request-equivalent/s/worker</x:v>
      </x:c>
      <x:c r="D16" s="25" t="str">
        <x:v>SCENARIO INPUT</x:v>
      </x:c>
      <x:c r="E16" s="25" t="str">
        <x:v>If OSL varies materially, use a measured request-equivalent or token-work definition.</x:v>
      </x:c>
    </x:row>
    <x:row r="17">
      <x:c r="A17" s="25" t="str">
        <x:v>GPUs / aggregated worker</x:v>
      </x:c>
      <x:c r="B17" s="36" t="n">
        <x:v>2</x:v>
      </x:c>
      <x:c r="C17" s="25" t="str">
        <x:v>GPUs</x:v>
      </x:c>
      <x:c r="D17" s="25" t="str">
        <x:v>SCENARIO</x:v>
      </x:c>
      <x:c r="E17" s="25" t="str">
        <x:v>Worker granularity.</x:v>
      </x:c>
    </x:row>
    <x:row r="18">
      <x:c r="A18" s="25" t="str">
        <x:v>GPUs / prefill worker</x:v>
      </x:c>
      <x:c r="B18" s="36" t="n">
        <x:v>2</x:v>
      </x:c>
      <x:c r="C18" s="25" t="str">
        <x:v>GPUs</x:v>
      </x:c>
      <x:c r="D18" s="25" t="str">
        <x:v>SCENARIO</x:v>
      </x:c>
      <x:c r="E18" s="25" t="str">
        <x:v>Worker granularity.</x:v>
      </x:c>
    </x:row>
    <x:row r="19">
      <x:c r="A19" s="25" t="str">
        <x:v>GPUs / decode worker</x:v>
      </x:c>
      <x:c r="B19" s="36" t="n">
        <x:v>2</x:v>
      </x:c>
      <x:c r="C19" s="25" t="str">
        <x:v>GPUs</x:v>
      </x:c>
      <x:c r="D19" s="25" t="str">
        <x:v>SCENARIO</x:v>
      </x:c>
      <x:c r="E19" s="25" t="str">
        <x:v>Worker granularity.</x:v>
      </x:c>
    </x:row>
    <x:row r="20">
      <x:c r="A20" s="25" t="str">
        <x:v>Target utilization aggregated</x:v>
      </x:c>
      <x:c r="B20" s="37" t="n">
        <x:v>0.8</x:v>
      </x:c>
      <x:c r="C20" s="25" t="str">
        <x:v>ratio</x:v>
      </x:c>
      <x:c r="D20" s="25" t="str">
        <x:v>SCENARIO</x:v>
      </x:c>
      <x:c r="E20" s="25" t="str">
        <x:v>Engineering target, not industry standard.</x:v>
      </x:c>
    </x:row>
    <x:row r="21">
      <x:c r="A21" s="25" t="str">
        <x:v>Target utilization prefill</x:v>
      </x:c>
      <x:c r="B21" s="37" t="n">
        <x:v>0.8</x:v>
      </x:c>
      <x:c r="C21" s="25" t="str">
        <x:v>ratio</x:v>
      </x:c>
      <x:c r="D21" s="25" t="str">
        <x:v>SCENARIO</x:v>
      </x:c>
      <x:c r="E21" s="25" t="str">
        <x:v>Engineering target, not industry standard.</x:v>
      </x:c>
    </x:row>
    <x:row r="22">
      <x:c r="A22" s="25" t="str">
        <x:v>Target utilization decode</x:v>
      </x:c>
      <x:c r="B22" s="37" t="n">
        <x:v>0.8</x:v>
      </x:c>
      <x:c r="C22" s="25" t="str">
        <x:v>ratio</x:v>
      </x:c>
      <x:c r="D22" s="25" t="str">
        <x:v>SCENARIO</x:v>
      </x:c>
      <x:c r="E22" s="25" t="str">
        <x:v>Engineering target, not industry standard.</x:v>
      </x:c>
    </x:row>
    <x:row r="23">
      <x:c r="A23" s="25" t="str">
        <x:v>KV bytes / request</x:v>
      </x:c>
      <x:c r="B23" s="36" t="n">
        <x:v>2000000000</x:v>
      </x:c>
      <x:c r="C23" s="25" t="str">
        <x:v>bytes</x:v>
      </x:c>
      <x:c r="D23" s="25" t="str">
        <x:v>SCENARIO</x:v>
      </x:c>
      <x:c r="E23" s="25" t="str">
        <x:v>Prefer runtime-reported/measured transfer bytes.</x:v>
      </x:c>
    </x:row>
    <x:row r="24">
      <x:c r="A24" s="25" t="str">
        <x:v>KV effective bandwidth</x:v>
      </x:c>
      <x:c r="B24" s="36" t="n">
        <x:v>100</x:v>
      </x:c>
      <x:c r="C24" s="25" t="str">
        <x:v>GB/s</x:v>
      </x:c>
      <x:c r="D24" s="25" t="str">
        <x:v>SCENARIO</x:v>
      </x:c>
      <x:c r="E24" s="25" t="str">
        <x:v>Effective transfer payload bandwidth.</x:v>
      </x:c>
    </x:row>
    <x:row r="25">
      <x:c r="A25" s="25" t="str">
        <x:v>KV fixed latency</x:v>
      </x:c>
      <x:c r="B25" s="36" t="n">
        <x:v>0.5</x:v>
      </x:c>
      <x:c r="C25" s="25" t="str">
        <x:v>ms</x:v>
      </x:c>
      <x:c r="D25" s="25" t="str">
        <x:v>SCENARIO</x:v>
      </x:c>
      <x:c r="E25" s="25" t="str">
        <x:v>Simple lower-bound fixed/startup term.</x:v>
      </x:c>
    </x:row>
    <x:row r="26">
      <x:c r="A26" s="25" t="str">
        <x:v>KV overlap</x:v>
      </x:c>
      <x:c r="B26" s="36" t="n">
        <x:v>12</x:v>
      </x:c>
      <x:c r="C26" s="25" t="str">
        <x:v>ms</x:v>
      </x:c>
      <x:c r="D26" s="25" t="str">
        <x:v>SCENARIO</x:v>
      </x:c>
      <x:c r="E26" s="25" t="str">
        <x:v>Bounded by actual transfer time.</x:v>
      </x:c>
    </x:row>
    <x:row r="27">
      <x:c r="A27" s="25" t="str">
        <x:v>KV transfer budget</x:v>
      </x:c>
      <x:c r="B27" s="36" t="n">
        <x:v>25</x:v>
      </x:c>
      <x:c r="C27" s="25" t="str">
        <x:v>ms</x:v>
      </x:c>
      <x:c r="D27" s="25" t="str">
        <x:v>SCENARIO</x:v>
      </x:c>
      <x:c r="E27" s="25" t="str">
        <x:v>Maximum transfer time for simplified bandwidth requirement.</x:v>
      </x:c>
    </x:row>
    <x:row r="28">
      <x:c r="A28" s="25" t="str">
        <x:v>Route exposed overhead</x:v>
      </x:c>
      <x:c r="B28" s="36" t="n">
        <x:v>1.5</x:v>
      </x:c>
      <x:c r="C28" s="25" t="str">
        <x:v>ms</x:v>
      </x:c>
      <x:c r="D28" s="25" t="str">
        <x:v>SCENARIO</x:v>
      </x:c>
      <x:c r="E28" s="25" t="str">
        <x:v>New exposed routing/handoff time.</x:v>
      </x:c>
    </x:row>
    <x:row r="29">
      <x:c r="A29" s="25" t="str">
        <x:v>Other new exposed overhead</x:v>
      </x:c>
      <x:c r="B29" s="36" t="n">
        <x:v>1</x:v>
      </x:c>
      <x:c r="C29" s="25" t="str">
        <x:v>ms</x:v>
      </x:c>
      <x:c r="D29" s="25" t="str">
        <x:v>SCENARIO</x:v>
      </x:c>
      <x:c r="E29" s="25" t="str">
        <x:v>Other new critical-path overhead.</x:v>
      </x:c>
    </x:row>
    <x:row r="30">
      <x:c r="A30" s="25" t="str">
        <x:v>Phase interference / queueing saved S</x:v>
      </x:c>
      <x:c r="B30" s="36" t="n">
        <x:v>131</x:v>
      </x:c>
      <x:c r="C30" s="25" t="str">
        <x:v>ms</x:v>
      </x:c>
      <x:c r="D30" s="25" t="str">
        <x:v>SCENARIO</x:v>
      </x:c>
      <x:c r="E30" s="25" t="str">
        <x:v>Latency/queueing avoided by phase isolation.</x:v>
      </x:c>
    </x:row>
    <x:row r="31">
      <x:c r="A31" s="25" t="str">
        <x:v>Aggregated p95 TTFT</x:v>
      </x:c>
      <x:c r="B31" s="36" t="n">
        <x:v>550</x:v>
      </x:c>
      <x:c r="C31" s="25" t="str">
        <x:v>ms</x:v>
      </x:c>
      <x:c r="D31" s="25" t="str">
        <x:v>SCENARIO OUTCOME</x:v>
      </x:c>
      <x:c r="E31" s="25" t="str">
        <x:v>Measured outcome should replace this.</x:v>
      </x:c>
    </x:row>
    <x:row r="32">
      <x:c r="A32" s="25" t="str">
        <x:v>Aggregated p95 TPOT</x:v>
      </x:c>
      <x:c r="B32" s="36" t="n">
        <x:v>24</x:v>
      </x:c>
      <x:c r="C32" s="25" t="str">
        <x:v>ms/token</x:v>
      </x:c>
      <x:c r="D32" s="25" t="str">
        <x:v>SCENARIO OUTCOME</x:v>
      </x:c>
      <x:c r="E32" s="25" t="str">
        <x:v>Measured outcome should replace this.</x:v>
      </x:c>
    </x:row>
    <x:row r="33">
      <x:c r="A33" s="25" t="str">
        <x:v>Disaggregated p95 TTFT</x:v>
      </x:c>
      <x:c r="B33" s="36" t="n">
        <x:v>430</x:v>
      </x:c>
      <x:c r="C33" s="25" t="str">
        <x:v>ms</x:v>
      </x:c>
      <x:c r="D33" s="25" t="str">
        <x:v>SCENARIO OUTCOME</x:v>
      </x:c>
      <x:c r="E33" s="25" t="str">
        <x:v>Measured outcome should replace this.</x:v>
      </x:c>
    </x:row>
    <x:row r="34">
      <x:c r="A34" s="25" t="str">
        <x:v>Disaggregated p95 TPOT</x:v>
      </x:c>
      <x:c r="B34" s="36" t="n">
        <x:v>21</x:v>
      </x:c>
      <x:c r="C34" s="25" t="str">
        <x:v>ms/token</x:v>
      </x:c>
      <x:c r="D34" s="25" t="str">
        <x:v>SCENARIO OUTCOME</x:v>
      </x:c>
      <x:c r="E34" s="25" t="str">
        <x:v>Measured outcome should replace this.</x:v>
      </x:c>
    </x:row>
    <x:row r="35">
      <x:c r="A35" s="25" t="str">
        <x:v>Aggregated SLO success</x:v>
      </x:c>
      <x:c r="B35" s="37" t="n">
        <x:v>0.84</x:v>
      </x:c>
      <x:c r="C35" s="25" t="str">
        <x:v>ratio</x:v>
      </x:c>
      <x:c r="D35" s="25" t="str">
        <x:v>SCENARIO OUTCOME</x:v>
      </x:c>
      <x:c r="E35" s="25" t="str">
        <x:v>Fraction meeting defined TTFT+TPOT acceptance criteria.</x:v>
      </x:c>
    </x:row>
    <x:row r="36">
      <x:c r="A36" s="25" t="str">
        <x:v>Disaggregated SLO success</x:v>
      </x:c>
      <x:c r="B36" s="37" t="n">
        <x:v>0.97</x:v>
      </x:c>
      <x:c r="C36" s="25" t="str">
        <x:v>ratio</x:v>
      </x:c>
      <x:c r="D36" s="25" t="str">
        <x:v>SCENARIO OUTCOME</x:v>
      </x:c>
      <x:c r="E36" s="25" t="str">
        <x:v>Fraction meeting same criteria.</x:v>
      </x:c>
    </x:row>
    <x:row r="37">
      <x:c r="A37" s="25" t="str">
        <x:v>GPU cost / hour</x:v>
      </x:c>
      <x:c r="B37" s="36" t="n">
        <x:v>4</x:v>
      </x:c>
      <x:c r="C37" s="25" t="str">
        <x:v>currency/GPU-hour</x:v>
      </x:c>
      <x:c r="D37" s="25" t="str">
        <x:v>SCENARIO INPUT</x:v>
      </x:c>
      <x:c r="E37" s="25" t="str">
        <x:v>Explicit scenario, not a market price.</x:v>
      </x:c>
    </x:row>
    <x:row r="38">
      <x:c r="A38" s="25" t="str">
        <x:v>Disaggregated network cost / hour</x:v>
      </x:c>
      <x:c r="B38" s="36" t="n">
        <x:v>1.2</x:v>
      </x:c>
      <x:c r="C38" s="25" t="str">
        <x:v>currency/hour</x:v>
      </x:c>
      <x:c r="D38" s="25" t="str">
        <x:v>SCENARIO INPUT</x:v>
      </x:c>
      <x:c r="E38" s="25" t="str">
        <x:v>Incremental transfer/fabric cost placeholder.</x:v>
      </x:c>
    </x:row>
    <x:row r="39">
      <x:c r="A39" s="25" t="str">
        <x:v>Same-GPU comparison budget</x:v>
      </x:c>
      <x:c r="B39" s="36" t="n">
        <x:v>8</x:v>
      </x:c>
      <x:c r="C39" s="25" t="str">
        <x:v>GPUs</x:v>
      </x:c>
      <x:c r="D39" s="25" t="str">
        <x:v>SCENARIO</x:v>
      </x:c>
      <x:c r="E39" s="25" t="str">
        <x:v>Hold total GPU budget constant.</x:v>
      </x:c>
    </x:row>
    <x:row r="40">
      <x:c r="A40" s="25"/>
      <x:c r="B40" s="25"/>
      <x:c r="C40" s="25"/>
      <x:c r="D40" s="25"/>
      <x:c r="E40" s="25"/>
    </x:row>
    <x:row r="41">
      <x:c r="A41" s="25"/>
      <x:c r="B41" s="25"/>
      <x:c r="C41" s="25"/>
      <x:c r="D41" s="25"/>
      <x:c r="E41" s="25"/>
    </x:row>
    <x:row r="42">
      <x:c r="A42" s="25"/>
      <x:c r="B42" s="25"/>
      <x:c r="C42" s="25"/>
      <x:c r="D42" s="25"/>
      <x:c r="E42" s="2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0" hidden="0" customWidth="1"/>
    <x:col min="2" max="2" width="34" hidden="0" customWidth="1"/>
    <x:col min="3" max="3" width="18" hidden="0" customWidth="1"/>
    <x:col min="4" max="4" width="72" hidden="0" customWidth="1"/>
  </x:cols>
  <x:sheetData>
    <x:row r="1">
      <x:c r="A1" s="26" t="str">
        <x:v>Aggregated metric</x:v>
      </x:c>
      <x:c r="B1" s="26" t="str">
        <x:v>Value</x:v>
      </x:c>
      <x:c r="C1" s="26" t="str">
        <x:v>Unit</x:v>
      </x:c>
      <x:c r="D1" s="26" t="str">
        <x:v>Interpretation</x:v>
      </x:c>
    </x:row>
    <x:row r="2">
      <x:c r="A2" s="25" t="str">
        <x:v>Effective sizing arrival lambda</x:v>
      </x:c>
      <x:c r="B2" s="46" t="n">
        <x:f>WORKLOAD!B6*WORKLOAD!B7</x:f>
        <x:v>5.6</x:v>
      </x:c>
      <x:c r="C2" s="25" t="str">
        <x:v>req/s</x:v>
      </x:c>
      <x:c r="D2" s="25" t="str">
        <x:v>arrival × burst</x:v>
      </x:c>
    </x:row>
    <x:row r="3">
      <x:c r="A3" s="25" t="str">
        <x:v>Required workers continuous</x:v>
      </x:c>
      <x:c r="B3" s="46" t="n">
        <x:f>IF(AND(WORKLOAD!B14&gt;0,WORKLOAD!B20&gt;0),B2/(WORKLOAD!B20*WORKLOAD!B14),0)</x:f>
        <x:v>3.4999999999999996</x:v>
      </x:c>
      <x:c r="C3" s="25" t="str">
        <x:v>workers</x:v>
      </x:c>
      <x:c r="D3" s="25" t="str">
        <x:v>lambda/(u_a*mu_a)</x:v>
      </x:c>
    </x:row>
    <x:row r="4">
      <x:c r="A4" s="25" t="str">
        <x:v>Required workers actual</x:v>
      </x:c>
      <x:c r="B4" s="46" t="n">
        <x:f>IF(B3&gt;0,ROUNDUP(B3,0),0)</x:f>
        <x:v>4</x:v>
      </x:c>
      <x:c r="C4" s="25" t="str">
        <x:v>workers</x:v>
      </x:c>
      <x:c r="D4" s="25" t="str">
        <x:v>ceil()</x:v>
      </x:c>
    </x:row>
    <x:row r="5">
      <x:c r="A5" s="25" t="str">
        <x:v>GPU count</x:v>
      </x:c>
      <x:c r="B5" s="46" t="n">
        <x:f>B4*WORKLOAD!B17</x:f>
        <x:v>8</x:v>
      </x:c>
      <x:c r="C5" s="25" t="str">
        <x:v>GPUs</x:v>
      </x:c>
      <x:c r="D5" s="25" t="str">
        <x:v>workers × GPUs/worker</x:v>
      </x:c>
    </x:row>
    <x:row r="6">
      <x:c r="A6" s="25" t="str">
        <x:v>Worker utilization</x:v>
      </x:c>
      <x:c r="B6" s="47" t="n">
        <x:f>IF(AND(B4&gt;0,WORKLOAD!B14&gt;0),B2/(B4*WORKLOAD!B14),0)</x:f>
        <x:v>0.7</x:v>
      </x:c>
      <x:c r="C6" s="25" t="str">
        <x:v>ratio</x:v>
      </x:c>
      <x:c r="D6" s="25" t="str">
        <x:v>lambda/(workers*mu_a)</x:v>
      </x:c>
    </x:row>
    <x:row r="7">
      <x:c r="A7" s="25" t="str">
        <x:v>Utilization warning</x:v>
      </x:c>
      <x:c r="B7" s="46" t="str">
        <x:f>IF(OR(WORKLOAD!B14&lt;=0,WORKLOAD!B20&lt;=0,WORKLOAD!B20&gt;=1,B6&gt;=1),"WARNING — invalid capacity/target utilization or utilization &gt;=1","PASS")</x:f>
        <x:v>PASS</x:v>
      </x:c>
      <x:c r="C7" s="25" t="str"/>
      <x:c r="D7" s="25" t="str">
        <x:v>&lt;1 required; target is lower</x:v>
      </x:c>
    </x:row>
    <x:row r="8">
      <x:c r="A8" s="25" t="str">
        <x:v>TTFT feasible</x:v>
      </x:c>
      <x:c r="B8" s="46" t="str">
        <x:f>IF(AND(WORKLOAD!B31&gt;0,WORKLOAD!B12&gt;0,WORKLOAD!B31&lt;=WORKLOAD!B12),"PASS","FAIL / MISSING")</x:f>
        <x:v>PASS</x:v>
      </x:c>
      <x:c r="C8" s="25" t="str"/>
      <x:c r="D8" s="25" t="str">
        <x:v>p95 &lt;= SLA</x:v>
      </x:c>
    </x:row>
    <x:row r="9">
      <x:c r="A9" s="25" t="str">
        <x:v>TPOT feasible</x:v>
      </x:c>
      <x:c r="B9" s="46" t="str">
        <x:f>IF(AND(WORKLOAD!B32&gt;0,WORKLOAD!B13&gt;0,WORKLOAD!B32&lt;=WORKLOAD!B13),"PASS","FAIL / MISSING")</x:f>
        <x:v>PASS</x:v>
      </x:c>
      <x:c r="C9" s="25" t="str"/>
      <x:c r="D9" s="25" t="str">
        <x:v>p95 &lt;= SLA</x:v>
      </x:c>
    </x:row>
    <x:row r="10">
      <x:c r="A10" s="25" t="str">
        <x:v>Architecture feasible</x:v>
      </x:c>
      <x:c r="B10" s="46" t="str">
        <x:f>IF(AND(B7="PASS",B8="PASS",B9="PASS"),"YES","NO")</x:f>
        <x:v>YES</x:v>
      </x:c>
      <x:c r="C10" s="25" t="str"/>
      <x:c r="D10" s="25" t="str">
        <x:v>capacity + TTFT + TPOT</x:v>
      </x:c>
    </x:row>
    <x:row r="11">
      <x:c r="A11" s="25" t="str">
        <x:v>SLO goodput</x:v>
      </x:c>
      <x:c r="B11" s="46" t="n">
        <x:f>IF(WORKLOAD!B35&gt;0,WORKLOAD!B6*WORKLOAD!B35,0)</x:f>
        <x:v>4.704</x:v>
      </x:c>
      <x:c r="C11" s="25" t="str">
        <x:v>req/s</x:v>
      </x:c>
      <x:c r="D11" s="25" t="str">
        <x:v>arrival × SLO success</x:v>
      </x:c>
    </x:row>
    <x:row r="12">
      <x:c r="A12" s="25" t="str">
        <x:v>GPU-normalized SLO goodput</x:v>
      </x:c>
      <x:c r="B12" s="48" t="n">
        <x:f>IF(B5&gt;0,B11/B5,0)</x:f>
        <x:v>0.588</x:v>
      </x:c>
      <x:c r="C12" s="25" t="str">
        <x:v>req/s/GPU</x:v>
      </x:c>
      <x:c r="D12" s="25" t="str">
        <x:v>SLO goodput / GPUs</x:v>
      </x:c>
    </x:row>
    <x:row r="13">
      <x:c r="A13" s="25"/>
      <x:c r="B13" s="25"/>
      <x:c r="C13" s="25"/>
      <x:c r="D13" s="25"/>
    </x:row>
    <x:row r="14">
      <x:c r="A14" s="25"/>
      <x:c r="B14" s="25"/>
      <x:c r="C14" s="25"/>
      <x:c r="D14" s="25"/>
    </x:row>
    <x:row r="15">
      <x:c r="A15" s="25"/>
      <x:c r="B15" s="25"/>
      <x:c r="C15" s="25"/>
      <x:c r="D15" s="25"/>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0" hidden="0" customWidth="1"/>
    <x:col min="2" max="2" width="34" hidden="0" customWidth="1"/>
    <x:col min="3" max="3" width="18" hidden="0" customWidth="1"/>
    <x:col min="4" max="4" width="72" hidden="0" customWidth="1"/>
  </x:cols>
  <x:sheetData>
    <x:row r="1">
      <x:c r="A1" s="26" t="str">
        <x:v>Prefill metric</x:v>
      </x:c>
      <x:c r="B1" s="26" t="str">
        <x:v>Value</x:v>
      </x:c>
      <x:c r="C1" s="26" t="str">
        <x:v>Unit</x:v>
      </x:c>
      <x:c r="D1" s="26" t="str">
        <x:v>Interpretation</x:v>
      </x:c>
    </x:row>
    <x:row r="2">
      <x:c r="A2" s="25" t="str">
        <x:v>Effective sizing arrival lambda</x:v>
      </x:c>
      <x:c r="B2" s="46" t="n">
        <x:f>WORKLOAD!B6*WORKLOAD!B7</x:f>
        <x:v>5.6</x:v>
      </x:c>
      <x:c r="C2" s="25" t="str">
        <x:v>req/s</x:v>
      </x:c>
      <x:c r="D2" s="25" t="str">
        <x:v>from WORKLOAD</x:v>
      </x:c>
    </x:row>
    <x:row r="3">
      <x:c r="A3" s="25" t="str">
        <x:v>Required workers continuous</x:v>
      </x:c>
      <x:c r="B3" s="46" t="n">
        <x:f>IF(AND(WORKLOAD!B15&gt;0,WORKLOAD!B21&gt;0),B2/(WORKLOAD!B21*WORKLOAD!B15),0)</x:f>
        <x:v>0.8749999999999999</x:v>
      </x:c>
      <x:c r="C3" s="25" t="str">
        <x:v>workers</x:v>
      </x:c>
      <x:c r="D3" s="25" t="str">
        <x:v>lambda/(u_p*mu_p)</x:v>
      </x:c>
    </x:row>
    <x:row r="4">
      <x:c r="A4" s="25" t="str">
        <x:v>Required workers actual x</x:v>
      </x:c>
      <x:c r="B4" s="46" t="n">
        <x:f>IF(B3&gt;0,ROUNDUP(B3,0),0)</x:f>
        <x:v>1</x:v>
      </x:c>
      <x:c r="C4" s="25" t="str">
        <x:v>workers</x:v>
      </x:c>
      <x:c r="D4" s="25" t="str">
        <x:v>ceil()</x:v>
      </x:c>
    </x:row>
    <x:row r="5">
      <x:c r="A5" s="25" t="str">
        <x:v>GPU count</x:v>
      </x:c>
      <x:c r="B5" s="46" t="n">
        <x:f>B4*WORKLOAD!B18</x:f>
        <x:v>2</x:v>
      </x:c>
      <x:c r="C5" s="25" t="str">
        <x:v>GPUs</x:v>
      </x:c>
      <x:c r="D5" s="25" t="str">
        <x:v>x × GPUs/prefill worker</x:v>
      </x:c>
    </x:row>
    <x:row r="6">
      <x:c r="A6" s="25" t="str">
        <x:v>Worker utilization rho_p</x:v>
      </x:c>
      <x:c r="B6" s="47" t="n">
        <x:f>IF(AND(B4&gt;0,WORKLOAD!B15&gt;0),B2/(B4*WORKLOAD!B15),0)</x:f>
        <x:v>0.7</x:v>
      </x:c>
      <x:c r="C6" s="25" t="str">
        <x:v>ratio</x:v>
      </x:c>
      <x:c r="D6" s="25" t="str">
        <x:v>lambda/(x*mu_p)</x:v>
      </x:c>
    </x:row>
    <x:row r="7">
      <x:c r="A7" s="25" t="str">
        <x:v>Utilization warning</x:v>
      </x:c>
      <x:c r="B7" s="46" t="str">
        <x:f>IF(OR(WORKLOAD!B15&lt;=0,WORKLOAD!B21&lt;=0,WORKLOAD!B21&gt;=1,B6&gt;=1),"WARNING — invalid capacity/target utilization or utilization &gt;=1",IF(B4=0,"WARNING — zero prefill workers","PASS"))</x:f>
        <x:v>PASS</x:v>
      </x:c>
      <x:c r="C7" s="25" t="str"/>
      <x:c r="D7" s="25" t="str">
        <x:v>capacity sanity</x:v>
      </x:c>
    </x:row>
    <x:row r="8">
      <x:c r="A8" s="25" t="str">
        <x:v>Continuous GPU demand</x:v>
      </x:c>
      <x:c r="B8" s="46" t="n">
        <x:f>B3*WORKLOAD!B18</x:f>
        <x:v>1.7499999999999998</x:v>
      </x:c>
      <x:c r="C8" s="25" t="str">
        <x:v>GPUs</x:v>
      </x:c>
      <x:c r="D8" s="25" t="str">
        <x:v>continuous workers × GPUs/worker</x:v>
      </x:c>
    </x:row>
    <x:row r="9">
      <x:c r="A9" s="25"/>
      <x:c r="B9" s="25"/>
      <x:c r="C9" s="25"/>
      <x:c r="D9" s="25"/>
    </x:row>
    <x:row r="10">
      <x:c r="A10" s="25"/>
      <x:c r="B10" s="25"/>
      <x:c r="C10" s="25"/>
      <x:c r="D10" s="25"/>
    </x:row>
    <x:row r="11">
      <x:c r="A11" s="25"/>
      <x:c r="B11" s="25"/>
      <x:c r="C11" s="25"/>
      <x:c r="D11" s="25"/>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0" hidden="0" customWidth="1"/>
    <x:col min="2" max="2" width="34" hidden="0" customWidth="1"/>
    <x:col min="3" max="3" width="18" hidden="0" customWidth="1"/>
    <x:col min="4" max="4" width="72" hidden="0" customWidth="1"/>
  </x:cols>
  <x:sheetData>
    <x:row r="1">
      <x:c r="A1" s="26" t="str">
        <x:v>Decode metric</x:v>
      </x:c>
      <x:c r="B1" s="26" t="str">
        <x:v>Value</x:v>
      </x:c>
      <x:c r="C1" s="26" t="str">
        <x:v>Unit</x:v>
      </x:c>
      <x:c r="D1" s="26" t="str">
        <x:v>Interpretation</x:v>
      </x:c>
    </x:row>
    <x:row r="2">
      <x:c r="A2" s="25" t="str">
        <x:v>Effective sizing arrival lambda</x:v>
      </x:c>
      <x:c r="B2" s="46" t="n">
        <x:f>WORKLOAD!B6*WORKLOAD!B7</x:f>
        <x:v>5.6</x:v>
      </x:c>
      <x:c r="C2" s="25" t="str">
        <x:v>req/s</x:v>
      </x:c>
      <x:c r="D2" s="25" t="str">
        <x:v>from WORKLOAD</x:v>
      </x:c>
    </x:row>
    <x:row r="3">
      <x:c r="A3" s="25" t="str">
        <x:v>Required workers continuous</x:v>
      </x:c>
      <x:c r="B3" s="46" t="n">
        <x:f>IF(AND(WORKLOAD!B16&gt;0,WORKLOAD!B22&gt;0),B2/(WORKLOAD!B22*WORKLOAD!B16),0)</x:f>
        <x:v>1.7499999999999998</x:v>
      </x:c>
      <x:c r="C3" s="25" t="str">
        <x:v>workers</x:v>
      </x:c>
      <x:c r="D3" s="25" t="str">
        <x:v>lambda/(u_d*mu_d)</x:v>
      </x:c>
    </x:row>
    <x:row r="4">
      <x:c r="A4" s="25" t="str">
        <x:v>Required workers actual y</x:v>
      </x:c>
      <x:c r="B4" s="46" t="n">
        <x:f>IF(B3&gt;0,ROUNDUP(B3,0),0)</x:f>
        <x:v>2</x:v>
      </x:c>
      <x:c r="C4" s="25" t="str">
        <x:v>workers</x:v>
      </x:c>
      <x:c r="D4" s="25" t="str">
        <x:v>ceil()</x:v>
      </x:c>
    </x:row>
    <x:row r="5">
      <x:c r="A5" s="25" t="str">
        <x:v>GPU count</x:v>
      </x:c>
      <x:c r="B5" s="46" t="n">
        <x:f>B4*WORKLOAD!B19</x:f>
        <x:v>4</x:v>
      </x:c>
      <x:c r="C5" s="25" t="str">
        <x:v>GPUs</x:v>
      </x:c>
      <x:c r="D5" s="25" t="str">
        <x:v>y × GPUs/decode worker</x:v>
      </x:c>
    </x:row>
    <x:row r="6">
      <x:c r="A6" s="25" t="str">
        <x:v>Worker utilization rho_d</x:v>
      </x:c>
      <x:c r="B6" s="47" t="n">
        <x:f>IF(AND(B4&gt;0,WORKLOAD!B16&gt;0),B2/(B4*WORKLOAD!B16),0)</x:f>
        <x:v>0.7</x:v>
      </x:c>
      <x:c r="C6" s="25" t="str">
        <x:v>ratio</x:v>
      </x:c>
      <x:c r="D6" s="25" t="str">
        <x:v>lambda/(y*mu_d)</x:v>
      </x:c>
    </x:row>
    <x:row r="7">
      <x:c r="A7" s="25" t="str">
        <x:v>Utilization warning</x:v>
      </x:c>
      <x:c r="B7" s="46" t="str">
        <x:f>IF(OR(WORKLOAD!B16&lt;=0,WORKLOAD!B22&lt;=0,WORKLOAD!B22&gt;=1,B6&gt;=1),"WARNING — invalid capacity/target utilization or utilization &gt;=1",IF(B4=0,"WARNING — zero decode workers","PASS"))</x:f>
        <x:v>PASS</x:v>
      </x:c>
      <x:c r="C7" s="25" t="str"/>
      <x:c r="D7" s="25" t="str">
        <x:v>capacity sanity</x:v>
      </x:c>
    </x:row>
    <x:row r="8">
      <x:c r="A8" s="25" t="str">
        <x:v>Continuous GPU demand</x:v>
      </x:c>
      <x:c r="B8" s="46" t="n">
        <x:f>B3*WORKLOAD!B19</x:f>
        <x:v>3.4999999999999996</x:v>
      </x:c>
      <x:c r="C8" s="25" t="str">
        <x:v>GPUs</x:v>
      </x:c>
      <x:c r="D8" s="25" t="str">
        <x:v>continuous workers × GPUs/worker</x:v>
      </x:c>
    </x:row>
    <x:row r="9">
      <x:c r="A9" s="25"/>
      <x:c r="B9" s="25"/>
      <x:c r="C9" s="25"/>
      <x:c r="D9" s="25"/>
    </x:row>
    <x:row r="10">
      <x:c r="A10" s="25"/>
      <x:c r="B10" s="25"/>
      <x:c r="C10" s="25"/>
      <x:c r="D10" s="25"/>
    </x:row>
    <x:row r="11">
      <x:c r="A11" s="25"/>
      <x:c r="B11" s="25"/>
      <x:c r="C11" s="25"/>
      <x:c r="D11" s="2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3" hidden="0" customWidth="1"/>
    <x:col min="2" max="2" width="42" hidden="0" customWidth="1"/>
    <x:col min="3" max="3" width="18" hidden="0" customWidth="1"/>
    <x:col min="4" max="4" width="78" hidden="0" customWidth="1"/>
  </x:cols>
  <x:sheetData>
    <x:row r="1">
      <x:c r="A1" s="26" t="str">
        <x:v>KV transfer metric</x:v>
      </x:c>
      <x:c r="B1" s="26" t="str">
        <x:v>Value</x:v>
      </x:c>
      <x:c r="C1" s="26" t="str">
        <x:v>Unit</x:v>
      </x:c>
      <x:c r="D1" s="26" t="str">
        <x:v>Interpretation</x:v>
      </x:c>
    </x:row>
    <x:row r="2">
      <x:c r="A2" s="25" t="str">
        <x:v>Required-input check</x:v>
      </x:c>
      <x:c r="B2" s="46" t="str">
        <x:f>IF(AND(WORKLOAD!B23&gt;0,WORKLOAD!B24&gt;0,WORKLOAD!B25&gt;=0,WORKLOAD!B26&gt;0),"PASS","INSUFFICIENT INPUT")</x:f>
        <x:v>PASS</x:v>
      </x:c>
      <x:c r="C2" s="25" t="str"/>
      <x:c r="D2" s="25" t="str">
        <x:v>KV bytes, bandwidth, fixed latency, budget must be &gt;0</x:v>
      </x:c>
    </x:row>
    <x:row r="3">
      <x:c r="A3" s="25" t="str">
        <x:v>Simple transfer lower-bound</x:v>
      </x:c>
      <x:c r="B3" s="46" t="n">
        <x:f>IF(WORKLOAD!B24&gt;0,WORKLOAD!B25+WORKLOAD!B23/(WORKLOAD!B24*1E9)*1000,0)</x:f>
        <x:v>20.5</x:v>
      </x:c>
      <x:c r="C3" s="25" t="str">
        <x:v>ms</x:v>
      </x:c>
      <x:c r="D3" s="25" t="str">
        <x:v>L_KV + M_KV/B_eff</x:v>
      </x:c>
    </x:row>
    <x:row r="4">
      <x:c r="A4" s="25" t="str">
        <x:v>Overlap validity</x:v>
      </x:c>
      <x:c r="B4" s="46" t="str">
        <x:f>IF(AND(WORKLOAD!B26&gt;=0,WORKLOAD!B26&lt;=B3),"PASS","INVALID — overlap &lt;0 or &gt; transfer time")</x:f>
        <x:v>PASS</x:v>
      </x:c>
      <x:c r="C4" s="25" t="str"/>
      <x:c r="D4" s="25" t="str">
        <x:v>0 &lt;= overlap &lt;= transfer time</x:v>
      </x:c>
    </x:row>
    <x:row r="5">
      <x:c r="A5" s="25" t="str">
        <x:v>Exposed KV transfer</x:v>
      </x:c>
      <x:c r="B5" s="46" t="n">
        <x:f>MAX(0,B3-WORKLOAD!B26)</x:f>
        <x:v>8.5</x:v>
      </x:c>
      <x:c r="C5" s="25" t="str">
        <x:v>ms</x:v>
      </x:c>
      <x:c r="D5" s="25" t="str">
        <x:v>max(0,T_KV-overlap)</x:v>
      </x:c>
    </x:row>
    <x:row r="6">
      <x:c r="A6" s="25" t="str">
        <x:v>Budget feasibility</x:v>
      </x:c>
      <x:c r="B6" s="46" t="str">
        <x:f>IF(WORKLOAD!B27&gt;WORKLOAD!B25,"FINITE","NO FINITE BANDWIDTH")</x:f>
        <x:v>FINITE</x:v>
      </x:c>
      <x:c r="C6" s="25" t="str"/>
      <x:c r="D6" s="25" t="str">
        <x:v>budget &gt; fixed latency</x:v>
      </x:c>
    </x:row>
    <x:row r="7">
      <x:c r="A7" s="25" t="str">
        <x:v>Required effective bandwidth</x:v>
      </x:c>
      <x:c r="B7" s="46" t="n">
        <x:f>IF(B6="FINITE",WORKLOAD!B23/((WORKLOAD!B27-WORKLOAD!B25)/1000)/1E9,0)</x:f>
        <x:v>81.63265306122449</x:v>
      </x:c>
      <x:c r="C7" s="25" t="str">
        <x:v>GB/s</x:v>
      </x:c>
      <x:c r="D7" s="25" t="str">
        <x:v>M/(budget-L)</x:v>
      </x:c>
    </x:row>
    <x:row r="8">
      <x:c r="A8" s="25" t="str">
        <x:v>Bandwidth adequacy</x:v>
      </x:c>
      <x:c r="B8" s="46" t="str">
        <x:f>IF(AND(B6="FINITE",WORKLOAD!B24&gt;=B7),"PASS","FAIL / NO FINITE BANDWIDTH")</x:f>
        <x:v>PASS</x:v>
      </x:c>
      <x:c r="C8" s="25" t="str"/>
      <x:c r="D8" s="25" t="str">
        <x:v>actual effective &gt;= required</x:v>
      </x:c>
    </x:row>
    <x:row r="9">
      <x:c r="A9" s="25" t="str">
        <x:v>New exposed overhead H</x:v>
      </x:c>
      <x:c r="B9" s="46" t="n">
        <x:f>B5+WORKLOAD!B28+WORKLOAD!B29</x:f>
        <x:v>11</x:v>
      </x:c>
      <x:c r="C9" s="25" t="str">
        <x:v>ms</x:v>
      </x:c>
      <x:c r="D9" s="25" t="str">
        <x:v>KV exposed + routing + other new</x:v>
      </x:c>
    </x:row>
    <x:row r="10">
      <x:c r="A10" s="25" t="str">
        <x:v>Phase interference saved S</x:v>
      </x:c>
      <x:c r="B10" s="46" t="n">
        <x:f>WORKLOAD!B30</x:f>
        <x:v>131</x:v>
      </x:c>
      <x:c r="C10" s="25" t="str">
        <x:v>ms</x:v>
      </x:c>
      <x:c r="D10" s="25" t="str">
        <x:v>scenario/measured benefit</x:v>
      </x:c>
    </x:row>
    <x:row r="11">
      <x:c r="A11" s="25" t="str">
        <x:v>Latency break-even S&gt;H</x:v>
      </x:c>
      <x:c r="B11" s="46" t="str">
        <x:f>IF(AND(B2="PASS",B4="PASS",B8="PASS",B10&gt;B9),"YES","NO")</x:f>
        <x:v>YES</x:v>
      </x:c>
      <x:c r="C11" s="25" t="str"/>
      <x:c r="D11" s="25" t="str">
        <x:v>necessary, not sufficient for economic win</x:v>
      </x:c>
    </x:row>
    <x:row r="12">
      <x:c r="A12" s="25" t="str">
        <x:v>Fixed-latency impossibility warning</x:v>
      </x:c>
      <x:c r="B12" s="46" t="str">
        <x:f>IF(WORKLOAD!B27&lt;=WORKLOAD!B25,"NO FINITE BANDWIDTH","PASS")</x:f>
        <x:v>PASS</x:v>
      </x:c>
      <x:c r="C12" s="25" t="str"/>
      <x:c r="D12" s="25" t="str">
        <x:v>NO FINITE BANDWIDTH when budget &lt;= L</x:v>
      </x:c>
    </x:row>
    <x:row r="13">
      <x:c r="A13" s="25"/>
      <x:c r="B13" s="25"/>
      <x:c r="C13" s="25"/>
      <x:c r="D13" s="25"/>
    </x:row>
    <x:row r="14">
      <x:c r="A14" s="25"/>
      <x:c r="B14" s="25"/>
      <x:c r="C14" s="25"/>
      <x:c r="D14" s="25"/>
    </x:row>
    <x:row r="15">
      <x:c r="A15" s="25"/>
      <x:c r="B15" s="25"/>
      <x:c r="C15" s="25"/>
      <x:c r="D15" s="25"/>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4" hidden="0" customWidth="1"/>
    <x:col min="2" max="2" width="40" hidden="0" customWidth="1"/>
    <x:col min="3" max="3" width="20" hidden="0" customWidth="1"/>
    <x:col min="4" max="4" width="78" hidden="0" customWidth="1"/>
  </x:cols>
  <x:sheetData>
    <x:row r="1">
      <x:c r="A1" s="26" t="str">
        <x:v>Allocation metric</x:v>
      </x:c>
      <x:c r="B1" s="26" t="str">
        <x:v>Value</x:v>
      </x:c>
      <x:c r="C1" s="26" t="str">
        <x:v>Unit</x:v>
      </x:c>
      <x:c r="D1" s="26" t="str">
        <x:v>Interpretation</x:v>
      </x:c>
    </x:row>
    <x:row r="2">
      <x:c r="A2" s="25" t="str">
        <x:v>Prefill workers required x</x:v>
      </x:c>
      <x:c r="B2" s="46" t="n">
        <x:f>PREFILL!B4</x:f>
        <x:v>1</x:v>
      </x:c>
      <x:c r="C2" s="25" t="str">
        <x:v>workers</x:v>
      </x:c>
      <x:c r="D2" s="25" t="str">
        <x:v>from PREFILL</x:v>
      </x:c>
    </x:row>
    <x:row r="3">
      <x:c r="A3" s="25" t="str">
        <x:v>Decode workers required y</x:v>
      </x:c>
      <x:c r="B3" s="46" t="n">
        <x:f>DECODE!B4</x:f>
        <x:v>2</x:v>
      </x:c>
      <x:c r="C3" s="25" t="str">
        <x:v>workers</x:v>
      </x:c>
      <x:c r="D3" s="25" t="str">
        <x:v>from DECODE</x:v>
      </x:c>
    </x:row>
    <x:row r="4">
      <x:c r="A4" s="25" t="str">
        <x:v>Disaggregated GPU count</x:v>
      </x:c>
      <x:c r="B4" s="46" t="n">
        <x:f>PREFILL!B5+DECODE!B5</x:f>
        <x:v>6</x:v>
      </x:c>
      <x:c r="C4" s="25" t="str">
        <x:v>GPUs</x:v>
      </x:c>
      <x:c r="D4" s="25" t="str">
        <x:v>x*g_p + y*g_d</x:v>
      </x:c>
    </x:row>
    <x:row r="5">
      <x:c r="A5" s="25" t="str">
        <x:v>Continuous prefill GPU demand</x:v>
      </x:c>
      <x:c r="B5" s="46" t="n">
        <x:f>PREFILL!B8</x:f>
        <x:v>1.7499999999999998</x:v>
      </x:c>
      <x:c r="C5" s="25" t="str">
        <x:v>GPUs</x:v>
      </x:c>
      <x:c r="D5" s="25" t="str">
        <x:v>before ceil()</x:v>
      </x:c>
    </x:row>
    <x:row r="6">
      <x:c r="A6" s="25" t="str">
        <x:v>Continuous decode GPU demand</x:v>
      </x:c>
      <x:c r="B6" s="46" t="n">
        <x:f>DECODE!B8</x:f>
        <x:v>3.4999999999999996</x:v>
      </x:c>
      <x:c r="C6" s="25" t="str">
        <x:v>GPUs</x:v>
      </x:c>
      <x:c r="D6" s="25" t="str">
        <x:v>before ceil()</x:v>
      </x:c>
    </x:row>
    <x:row r="7">
      <x:c r="A7" s="25" t="str">
        <x:v>Continuous ideal GPU demand</x:v>
      </x:c>
      <x:c r="B7" s="46" t="n">
        <x:f>B5+B6</x:f>
        <x:v>5.249999999999999</x:v>
      </x:c>
      <x:c r="C7" s="25" t="str">
        <x:v>GPUs</x:v>
      </x:c>
      <x:c r="D7" s="25" t="str">
        <x:v>sum</x:v>
      </x:c>
    </x:row>
    <x:row r="8">
      <x:c r="A8" s="25" t="str">
        <x:v>Worker-granularity overhead</x:v>
      </x:c>
      <x:c r="B8" s="47" t="n">
        <x:f>IF(B7&gt;0,(B4-B7)/B7,0)</x:f>
        <x:v>0.14285714285714304</x:v>
      </x:c>
      <x:c r="C8" s="25" t="str">
        <x:v>ratio</x:v>
      </x:c>
      <x:c r="D8" s="25" t="str">
        <x:v>(actual-ideal)/ideal</x:v>
      </x:c>
    </x:row>
    <x:row r="9">
      <x:c r="A9" s="25" t="str">
        <x:v>Same-GPU comparison budget G</x:v>
      </x:c>
      <x:c r="B9" s="46" t="n">
        <x:f>WORKLOAD!B39</x:f>
        <x:v>8</x:v>
      </x:c>
      <x:c r="C9" s="25" t="str">
        <x:v>GPUs</x:v>
      </x:c>
      <x:c r="D9" s="25" t="str">
        <x:v>input</x:v>
      </x:c>
    </x:row>
    <x:row r="10">
      <x:c r="A10" s="25" t="str">
        <x:v>GPU-seconds/request prefill demand d_p</x:v>
      </x:c>
      <x:c r="B10" s="46" t="n">
        <x:f>IF(WORKLOAD!B15&gt;0,WORKLOAD!B18/WORKLOAD!B15,0)</x:f>
        <x:v>0.25</x:v>
      </x:c>
      <x:c r="C10" s="25" t="str">
        <x:v>GPU-s/request</x:v>
      </x:c>
      <x:c r="D10" s="25" t="str">
        <x:v>g_p/mu_p</x:v>
      </x:c>
    </x:row>
    <x:row r="11">
      <x:c r="A11" s="25" t="str">
        <x:v>GPU-seconds/request decode demand d_d</x:v>
      </x:c>
      <x:c r="B11" s="46" t="n">
        <x:f>IF(WORKLOAD!B16&gt;0,WORKLOAD!B19/WORKLOAD!B16,0)</x:f>
        <x:v>0.5</x:v>
      </x:c>
      <x:c r="C11" s="25" t="str">
        <x:v>GPU-s/request</x:v>
      </x:c>
      <x:c r="D11" s="25" t="str">
        <x:v>g_d/mu_d</x:v>
      </x:c>
    </x:row>
    <x:row r="12">
      <x:c r="A12" s="25" t="str">
        <x:v>Continuous work-demand split G_p*</x:v>
      </x:c>
      <x:c r="B12" s="46" t="n">
        <x:f>IF(B10+B11&gt;0,B9*B10/(B10+B11),0)</x:f>
        <x:v>2.6666666666666665</x:v>
      </x:c>
      <x:c r="C12" s="25" t="str">
        <x:v>GPUs</x:v>
      </x:c>
      <x:c r="D12" s="25" t="str">
        <x:v>G*d_p/(d_p+d_d)</x:v>
      </x:c>
    </x:row>
    <x:row r="13">
      <x:c r="A13" s="25" t="str">
        <x:v>Continuous work-demand split G_d*</x:v>
      </x:c>
      <x:c r="B13" s="46" t="n">
        <x:f>IF(B10+B11&gt;0,B9*B11/(B10+B11),0)</x:f>
        <x:v>5.333333333333333</x:v>
      </x:c>
      <x:c r="C13" s="25" t="str">
        <x:v>GPUs</x:v>
      </x:c>
      <x:c r="D13" s="25" t="str">
        <x:v>G*d_d/(d_p+d_d)</x:v>
      </x:c>
    </x:row>
    <x:row r="14">
      <x:c r="A14" s="25" t="str">
        <x:v>Same-budget prefill workers</x:v>
      </x:c>
      <x:c r="B14" s="46" t="n">
        <x:f>B2</x:f>
        <x:v>1</x:v>
      </x:c>
      <x:c r="C14" s="25" t="str">
        <x:v>workers</x:v>
      </x:c>
      <x:c r="D14" s="25" t="str">
        <x:v>minimum required x</x:v>
      </x:c>
    </x:row>
    <x:row r="15">
      <x:c r="A15" s="25" t="str">
        <x:v>Same-budget decode workers</x:v>
      </x:c>
      <x:c r="B15" s="46" t="n">
        <x:f>IF(AND(WORKLOAD!B19&gt;0,B9-B14*WORKLOAD!B18&gt;=WORKLOAD!B19),INT((B9-B14*WORKLOAD!B18)/WORKLOAD!B19),0)</x:f>
        <x:v>3</x:v>
      </x:c>
      <x:c r="C15" s="25" t="str">
        <x:v>workers</x:v>
      </x:c>
      <x:c r="D15" s="25" t="str">
        <x:v>use remaining GPU budget</x:v>
      </x:c>
    </x:row>
    <x:row r="16">
      <x:c r="A16" s="25" t="str">
        <x:v>Same-budget GPU use</x:v>
      </x:c>
      <x:c r="B16" s="46" t="n">
        <x:f>B14*WORKLOAD!B18+B15*WORKLOAD!B19</x:f>
        <x:v>8</x:v>
      </x:c>
      <x:c r="C16" s="25" t="str">
        <x:v>GPUs</x:v>
      </x:c>
      <x:c r="D16" s="25" t="str">
        <x:v>x*g_p+y*g_d</x:v>
      </x:c>
    </x:row>
    <x:row r="17">
      <x:c r="A17" s="25" t="str">
        <x:v>Same-budget bottleneck target capacity</x:v>
      </x:c>
      <x:c r="B17" s="46" t="n">
        <x:f>IF(AND(B14&gt;0,B15&gt;0),MIN(B14*WORKLOAD!B15*WORKLOAD!B21,B15*WORKLOAD!B16*WORKLOAD!B22),0)</x:f>
        <x:v>6.4</x:v>
      </x:c>
      <x:c r="C17" s="25" t="str">
        <x:v>req/s</x:v>
      </x:c>
      <x:c r="D17" s="25" t="str">
        <x:v>min(P,D target capacities)</x:v>
      </x:c>
    </x:row>
    <x:row r="18">
      <x:c r="A18" s="25" t="str">
        <x:v>Same-budget feasibility</x:v>
      </x:c>
      <x:c r="B18" s="46" t="str">
        <x:f>IF(AND(B16&lt;=B9,B17&gt;=WORKLOAD!B6*WORKLOAD!B7),"YES","NO")</x:f>
        <x:v>YES</x:v>
      </x:c>
      <x:c r="C18" s="25" t="str"/>
      <x:c r="D18" s="25" t="str">
        <x:v>capacity under fixed G</x:v>
      </x:c>
    </x:row>
    <x:row r="19">
      <x:c r="A19" s="25" t="str">
        <x:v>Minimum feasible xP:yD</x:v>
      </x:c>
      <x:c r="B19" s="46" t="str">
        <x:f>IF(AND(B2&gt;0,B3&gt;0),B2&amp;"P:"&amp;B3&amp;"D","INSUFFICIENT INPUT")</x:f>
        <x:v>1P:2D</x:v>
      </x:c>
      <x:c r="C19" s="25" t="str"/>
      <x:c r="D19" s="25" t="str">
        <x:v>required workers from ceil model</x:v>
      </x:c>
    </x:row>
    <x:row r="20">
      <x:c r="A20" s="25"/>
      <x:c r="B20" s="25"/>
      <x:c r="C20" s="25"/>
      <x:c r="D20" s="25"/>
    </x:row>
    <x:row r="21">
      <x:c r="A21" s="25"/>
      <x:c r="B21" s="25"/>
      <x:c r="C21" s="25"/>
      <x:c r="D21" s="25"/>
    </x:row>
    <x:row r="22">
      <x:c r="A22" s="25"/>
      <x:c r="B22" s="25"/>
      <x:c r="C22" s="25"/>
      <x:c r="D22" s="25"/>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x:c r="A1" s="13" t="str">
        <x:v>Architecture</x:v>
      </x:c>
      <x:c r="B1" s="13" t="str">
        <x:v>p95 TTFT ms</x:v>
      </x:c>
      <x:c r="C1" s="13" t="str">
        <x:v>p95 TPOT ms</x:v>
      </x:c>
      <x:c r="D1" s="13" t="str">
        <x:v>SLO success</x:v>
      </x:c>
      <x:c r="E1" s="13" t="str">
        <x:v>SLO goodput req/s</x:v>
      </x:c>
      <x:c r="F1" s="13" t="str">
        <x:v>GPU count</x:v>
      </x:c>
      <x:c r="G1" s="13" t="str">
        <x:v>GPU-normalized goodput</x:v>
      </x:c>
      <x:c r="H1" s="13" t="str">
        <x:v>Feasible</x:v>
      </x:c>
    </x:row>
    <x:row r="2">
      <x:c r="A2" t="str">
        <x:v>AGGREGATED</x:v>
      </x:c>
      <x:c r="B2" t="n">
        <x:f>WORKLOAD!B31</x:f>
        <x:v>550</x:v>
      </x:c>
      <x:c r="C2" t="n">
        <x:f>WORKLOAD!B32</x:f>
        <x:v>24</x:v>
      </x:c>
      <x:c r="D2" s="52" t="n">
        <x:f>WORKLOAD!B35</x:f>
        <x:v>0.84</x:v>
      </x:c>
      <x:c r="E2" t="n">
        <x:f>AGGREGATED!B11</x:f>
        <x:v>4.704</x:v>
      </x:c>
      <x:c r="F2" t="n">
        <x:f>AGGREGATED!B5</x:f>
        <x:v>8</x:v>
      </x:c>
      <x:c r="G2" s="54" t="n">
        <x:f>AGGREGATED!B12</x:f>
        <x:v>0.588</x:v>
      </x:c>
      <x:c r="H2" t="str">
        <x:f>AGGREGATED!B10</x:f>
        <x:v>YES</x:v>
      </x:c>
    </x:row>
    <x:row r="3">
      <x:c r="A3" t="str">
        <x:v>DISAGGREGATED</x:v>
      </x:c>
      <x:c r="B3" t="n">
        <x:f>WORKLOAD!B33</x:f>
        <x:v>430</x:v>
      </x:c>
      <x:c r="C3" t="n">
        <x:f>WORKLOAD!B34</x:f>
        <x:v>21</x:v>
      </x:c>
      <x:c r="D3" s="52" t="n">
        <x:f>WORKLOAD!B36</x:f>
        <x:v>0.97</x:v>
      </x:c>
      <x:c r="E3" t="n">
        <x:f>IF(WORKLOAD!B36&gt;0,WORKLOAD!B6*WORKLOAD!B36,0)</x:f>
        <x:v>5.4319999999999995</x:v>
      </x:c>
      <x:c r="F3" t="n">
        <x:f>ALLOCATION!B4</x:f>
        <x:v>6</x:v>
      </x:c>
      <x:c r="G3" s="54" t="n">
        <x:f>IF(F3&gt;0,E3/F3,0)</x:f>
        <x:v>0.9053333333333332</x:v>
      </x:c>
      <x:c r="H3" t="str">
        <x:f>IF(AND(PREFILL!B7="PASS",DECODE!B7="PASS",KV_TRANSFER!B2="PASS",KV_TRANSFER!B4="PASS",KV_TRANSFER!B8="PASS",WORKLOAD!B33&lt;=WORKLOAD!B12,WORKLOAD!B34&lt;=WORKLOAD!B13),"YES","NO")</x:f>
        <x:v>YES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30" hidden="0" customWidth="1"/>
    <x:col min="3" max="3" width="30" hidden="0" customWidth="1"/>
    <x:col min="4" max="4" width="78" hidden="0" customWidth="1"/>
  </x:cols>
  <x:sheetData>
    <x:row r="1">
      <x:c r="A1" s="26" t="str">
        <x:v>Economic metric</x:v>
      </x:c>
      <x:c r="B1" s="26" t="str">
        <x:v>Aggregated</x:v>
      </x:c>
      <x:c r="C1" s="26" t="str">
        <x:v>Disaggregated</x:v>
      </x:c>
      <x:c r="D1" s="26" t="str">
        <x:v>Interpretation</x:v>
      </x:c>
    </x:row>
    <x:row r="2">
      <x:c r="A2" s="25" t="str">
        <x:v>Minimum-SLO GPU count</x:v>
      </x:c>
      <x:c r="B2" s="46" t="n">
        <x:f>AGGREGATED!B5</x:f>
        <x:v>8</x:v>
      </x:c>
      <x:c r="C2" s="46" t="n">
        <x:f>ALLOCATION!B4</x:f>
        <x:v>6</x:v>
      </x:c>
      <x:c r="D2" s="25" t="str">
        <x:v>From capacity ceil() model</x:v>
      </x:c>
    </x:row>
    <x:row r="3">
      <x:c r="A3" s="25" t="str">
        <x:v>Cost / hour</x:v>
      </x:c>
      <x:c r="B3" s="46" t="n">
        <x:f>B2*WORKLOAD!B37</x:f>
        <x:v>32</x:v>
      </x:c>
      <x:c r="C3" s="46" t="n">
        <x:f>C2*WORKLOAD!B37+WORKLOAD!B38</x:f>
        <x:v>25.2</x:v>
      </x:c>
      <x:c r="D3" s="25" t="str">
        <x:v>GPU cost + incremental network cost</x:v>
      </x:c>
    </x:row>
    <x:row r="4">
      <x:c r="A4" s="25" t="str">
        <x:v>SLO goodput</x:v>
      </x:c>
      <x:c r="B4" s="46" t="n">
        <x:f>SLO!E2</x:f>
        <x:v>4.704</x:v>
      </x:c>
      <x:c r="C4" s="46" t="n">
        <x:f>SLO!E3</x:f>
        <x:v>5.4319999999999995</x:v>
      </x:c>
      <x:c r="D4" s="25" t="str">
        <x:v>req/s meeting defined TTFT+TPOT criteria</x:v>
      </x:c>
    </x:row>
    <x:row r="5">
      <x:c r="A5" s="25" t="str">
        <x:v>Cost / SLO-compliant request</x:v>
      </x:c>
      <x:c r="B5" s="46" t="n">
        <x:f>IF(B4&gt;0,B3/(3600*B4),0)</x:f>
        <x:v>0.0018896447467876042</x:v>
      </x:c>
      <x:c r="C5" s="46" t="n">
        <x:f>IF(C4&gt;0,C3/(3600*C4),0)</x:f>
        <x:v>0.0012886597938144332</x:v>
      </x:c>
      <x:c r="D5" s="25" t="str">
        <x:v>C_hour/(3600*G_SLO)</x:v>
      </x:c>
    </x:row>
    <x:row r="6">
      <x:c r="A6" s="25" t="str">
        <x:v>Same-GPU budget cost/hour</x:v>
      </x:c>
      <x:c r="B6" s="46" t="n">
        <x:f>WORKLOAD!B39*WORKLOAD!B37</x:f>
        <x:v>32</x:v>
      </x:c>
      <x:c r="C6" s="46" t="n">
        <x:f>WORKLOAD!B39*WORKLOAD!B37+WORKLOAD!B38</x:f>
        <x:v>33.2</x:v>
      </x:c>
      <x:c r="D6" s="25" t="str">
        <x:v>Hold total GPU budget G constant</x:v>
      </x:c>
    </x:row>
    <x:row r="7">
      <x:c r="A7" s="25" t="str">
        <x:v>Same-GPU target capacity</x:v>
      </x:c>
      <x:c r="B7" s="46" t="n">
        <x:f>IF(AND(WORKLOAD!B17&gt;0,WORKLOAD!B14&gt;0,WORKLOAD!B20&gt;0),INT(WORKLOAD!B39/WORKLOAD!B17)*WORKLOAD!B14*WORKLOAD!B20,0)</x:f>
        <x:v>6.4</x:v>
      </x:c>
      <x:c r="C7" s="46" t="n">
        <x:f>ALLOCATION!B17</x:f>
        <x:v>6.4</x:v>
      </x:c>
      <x:c r="D7" s="25" t="str">
        <x:v>target-utilization capacity under G</x:v>
      </x:c>
    </x:row>
    <x:row r="8">
      <x:c r="A8" s="25" t="str">
        <x:v>Same-GPU SLO goodput</x:v>
      </x:c>
      <x:c r="B8" s="46" t="n">
        <x:f>MIN(WORKLOAD!B6,B7)*WORKLOAD!B35</x:f>
        <x:v>4.704</x:v>
      </x:c>
      <x:c r="C8" s="46" t="n">
        <x:f>MIN(WORKLOAD!B6,C7)*WORKLOAD!B36</x:f>
        <x:v>5.4319999999999995</x:v>
      </x:c>
      <x:c r="D8" s="25" t="str">
        <x:v>min(arrival,capacity)*success</x:v>
      </x:c>
    </x:row>
    <x:row r="9">
      <x:c r="A9" s="25" t="str">
        <x:v>Same-GPU cost / SLO request</x:v>
      </x:c>
      <x:c r="B9" s="46" t="n">
        <x:f>IF(B8&gt;0,B6/(3600*B8),0)</x:f>
        <x:v>0.0018896447467876042</x:v>
      </x:c>
      <x:c r="C9" s="46" t="n">
        <x:f>IF(C8&gt;0,C6/(3600*C8),0)</x:f>
        <x:v>0.0016977581410571106</x:v>
      </x:c>
      <x:c r="D9" s="25" t="str">
        <x:v>fair fixed-hardware comparison</x:v>
      </x:c>
    </x:row>
    <x:row r="10">
      <x:c r="A10" s="25" t="str">
        <x:v>Architecture recommendation</x:v>
      </x:c>
      <x:c r="B10" s="46" t="str">
        <x:f>IF(OR(WORKLOAD!B6&lt;=0,WORKLOAD!B14&lt;=0,WORKLOAD!B15&lt;=0,WORKLOAD!B16&lt;=0,WORKLOAD!B23&lt;=0,WORKLOAD!B24&lt;=0,WORKLOAD!B35&lt;=0,WORKLOAD!B36&lt;=0),"INSUFFICIENT INPUT",IF(AND(SLO!H2="NO",SLO!H3="NO"),"NO FEASIBLE ARCHITECTURE",IF(AND(SLO!H2="YES",SLO!H3="NO"),"AGGREGATED",IF(AND(SLO!H2="NO",SLO!H3="YES"),"DISAGGREGATED",IF(C5&lt;B5,"DISAGGREGATED","AGGREGATED")))))</x:f>
        <x:v>DISAGGREGATED</x:v>
      </x:c>
      <x:c r="C10" s="46" t="str">
        <x:f>B10</x:f>
        <x:v>DISAGGREGATED</x:v>
      </x:c>
      <x:c r="D10" s="25" t="str">
        <x:v>AGGREGATED / DISAGGREGATED / INSUFFICIENT INPUT</x:v>
      </x:c>
    </x:row>
    <x:row r="11">
      <x:c r="A11" s="25"/>
      <x:c r="B11" s="25"/>
      <x:c r="C11" s="25"/>
      <x:c r="D11" s="25"/>
    </x:row>
    <x:row r="12">
      <x:c r="A12" s="25"/>
      <x:c r="B12" s="25"/>
      <x:c r="C12" s="25"/>
      <x:c r="D12" s="25"/>
    </x:row>
    <x:row r="13">
      <x:c r="A13" s="25"/>
      <x:c r="B13" s="25"/>
      <x:c r="C13" s="25"/>
      <x:c r="D13" s="25"/>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9" max="9" width="22" hidden="0" customWidth="1"/>
    <x:col min="10" max="10" width="22" hidden="0" customWidth="1"/>
    <x:col min="11" max="11" width="22" hidden="0" customWidth="1"/>
    <x:col min="12" max="12" width="22" hidden="0" customWidth="1"/>
    <x:col min="13" max="13" width="22" hidden="0" customWidth="1"/>
  </x:cols>
  <x:sheetData>
    <x:row r="1">
      <x:c r="A1" s="13" t="str">
        <x:v>Arrival req/s</x:v>
      </x:c>
      <x:c r="B1" s="13" t="str">
        <x:v>Agg workers</x:v>
      </x:c>
      <x:c r="C1" s="13" t="str">
        <x:v>Agg GPUs</x:v>
      </x:c>
      <x:c r="D1" s="13" t="str">
        <x:v>Prefill workers</x:v>
      </x:c>
      <x:c r="E1" s="13" t="str">
        <x:v>Decode workers</x:v>
      </x:c>
      <x:c r="F1" s="13" t="str">
        <x:v>Disagg GPUs</x:v>
      </x:c>
      <x:c r="G1" s="13" t="str">
        <x:v>Granularity overhead</x:v>
      </x:c>
      <x:c r="I1" s="13" t="str">
        <x:v>KV effective GB/s</x:v>
      </x:c>
      <x:c r="J1" s="13" t="str">
        <x:v>Transfer ms</x:v>
      </x:c>
      <x:c r="K1" s="13" t="str">
        <x:v>Exposed ms</x:v>
      </x:c>
      <x:c r="L1" s="13" t="str">
        <x:v>Budget adequacy</x:v>
      </x:c>
      <x:c r="M1" s="13" t="str">
        <x:v>Latency break-even</x:v>
      </x:c>
    </x:row>
    <x:row r="2">
      <x:c r="A2" t="n">
        <x:v>0.2</x:v>
      </x:c>
      <x:c r="B2" t="n">
        <x:f>IF(AND(WORKLOAD!B14&gt;0,WORKLOAD!B20&gt;0),ROUNDUP(A2*WORKLOAD!B7/(WORKLOAD!B14*WORKLOAD!B20),0),0)</x:f>
        <x:v>1</x:v>
      </x:c>
      <x:c r="C2" t="n">
        <x:f>B2*WORKLOAD!B17</x:f>
        <x:v>2</x:v>
      </x:c>
      <x:c r="D2" t="n">
        <x:f>IF(AND(WORKLOAD!B15&gt;0,WORKLOAD!B21&gt;0),ROUNDUP(A2*WORKLOAD!B7/(WORKLOAD!B15*WORKLOAD!B21),0),0)</x:f>
        <x:v>1</x:v>
      </x:c>
      <x:c r="E2" t="n">
        <x:f>IF(AND(WORKLOAD!B16&gt;0,WORKLOAD!B22&gt;0),ROUNDUP(A2*WORKLOAD!B7/(WORKLOAD!B16*WORKLOAD!B22),0),0)</x:f>
        <x:v>1</x:v>
      </x:c>
      <x:c r="F2" t="n">
        <x:f>D2*WORKLOAD!B18+E2*WORKLOAD!B19</x:f>
        <x:v>4</x:v>
      </x:c>
      <x:c r="G2" s="56" t="n">
        <x:f>IF(((A2*WORKLOAD!B7/(WORKLOAD!B15*WORKLOAD!B21))*WORKLOAD!B18+(A2*WORKLOAD!B7/(WORKLOAD!B16*WORKLOAD!B22))*WORKLOAD!B19)&gt;0,(F2-((A2*WORKLOAD!B7/(WORKLOAD!B15*WORKLOAD!B21))*WORKLOAD!B18+(A2*WORKLOAD!B7/(WORKLOAD!B16*WORKLOAD!B22))*WORKLOAD!B19))/((A2*WORKLOAD!B7/(WORKLOAD!B15*WORKLOAD!B21))*WORKLOAD!B18+(A2*WORKLOAD!B7/(WORKLOAD!B16*WORKLOAD!B22))*WORKLOAD!B19),0)</x:f>
        <x:v>20.333333333333332</x:v>
      </x:c>
      <x:c r="I2" t="n">
        <x:v>20</x:v>
      </x:c>
      <x:c r="J2" t="n">
        <x:f>WORKLOAD!B25+WORKLOAD!B23/(I2*1E9)*1000</x:f>
        <x:v>100.5</x:v>
      </x:c>
      <x:c r="K2" t="n">
        <x:f>MAX(0,J2-WORKLOAD!B26)</x:f>
        <x:v>88.5</x:v>
      </x:c>
      <x:c r="L2" t="str">
        <x:f>IF(AND(WORKLOAD!B27&gt;WORKLOAD!B25,I2&gt;=WORKLOAD!B23/((WORKLOAD!B27-WORKLOAD!B25)/1000)/1E9),"PASS","FAIL")</x:f>
        <x:v>FAIL</x:v>
      </x:c>
      <x:c r="M2" t="str">
        <x:f>IF(WORKLOAD!B30&gt;(K2+WORKLOAD!B28+WORKLOAD!B29),"S&gt;H","S&lt;=H")</x:f>
        <x:v>S&gt;H</x:v>
      </x:c>
    </x:row>
    <x:row r="3">
      <x:c r="A3" t="n">
        <x:v>0.6</x:v>
      </x:c>
      <x:c r="B3" t="n">
        <x:f>IF(AND(WORKLOAD!B14&gt;0,WORKLOAD!B20&gt;0),ROUNDUP(A3*WORKLOAD!B7/(WORKLOAD!B14*WORKLOAD!B20),0),0)</x:f>
        <x:v>1</x:v>
      </x:c>
      <x:c r="C3" t="n">
        <x:f>B3*WORKLOAD!B17</x:f>
        <x:v>2</x:v>
      </x:c>
      <x:c r="D3" t="n">
        <x:f>IF(AND(WORKLOAD!B15&gt;0,WORKLOAD!B21&gt;0),ROUNDUP(A3*WORKLOAD!B7/(WORKLOAD!B15*WORKLOAD!B21),0),0)</x:f>
        <x:v>1</x:v>
      </x:c>
      <x:c r="E3" t="n">
        <x:f>IF(AND(WORKLOAD!B16&gt;0,WORKLOAD!B22&gt;0),ROUNDUP(A3*WORKLOAD!B7/(WORKLOAD!B16*WORKLOAD!B22),0),0)</x:f>
        <x:v>1</x:v>
      </x:c>
      <x:c r="F3" t="n">
        <x:f>D3*WORKLOAD!B18+E3*WORKLOAD!B19</x:f>
        <x:v>4</x:v>
      </x:c>
      <x:c r="G3" s="56" t="n">
        <x:f>IF(((A3*WORKLOAD!B7/(WORKLOAD!B15*WORKLOAD!B21))*WORKLOAD!B18+(A3*WORKLOAD!B7/(WORKLOAD!B16*WORKLOAD!B22))*WORKLOAD!B19)&gt;0,(F3-((A3*WORKLOAD!B7/(WORKLOAD!B15*WORKLOAD!B21))*WORKLOAD!B18+(A3*WORKLOAD!B7/(WORKLOAD!B16*WORKLOAD!B22))*WORKLOAD!B19))/((A3*WORKLOAD!B7/(WORKLOAD!B15*WORKLOAD!B21))*WORKLOAD!B18+(A3*WORKLOAD!B7/(WORKLOAD!B16*WORKLOAD!B22))*WORKLOAD!B19),0)</x:f>
        <x:v>6.1111111111111125</x:v>
      </x:c>
      <x:c r="I3" t="n">
        <x:v>40</x:v>
      </x:c>
      <x:c r="J3" t="n">
        <x:f>WORKLOAD!B25+WORKLOAD!B23/(I3*1E9)*1000</x:f>
        <x:v>50.5</x:v>
      </x:c>
      <x:c r="K3" t="n">
        <x:f>MAX(0,J3-WORKLOAD!B26)</x:f>
        <x:v>38.5</x:v>
      </x:c>
      <x:c r="L3" t="str">
        <x:f>IF(AND(WORKLOAD!B27&gt;WORKLOAD!B25,I3&gt;=WORKLOAD!B23/((WORKLOAD!B27-WORKLOAD!B25)/1000)/1E9),"PASS","FAIL")</x:f>
        <x:v>FAIL</x:v>
      </x:c>
      <x:c r="M3" t="str">
        <x:f>IF(WORKLOAD!B30&gt;(K3+WORKLOAD!B28+WORKLOAD!B29),"S&gt;H","S&lt;=H")</x:f>
        <x:v>S&gt;H</x:v>
      </x:c>
    </x:row>
    <x:row r="4">
      <x:c r="A4" t="n">
        <x:v>1</x:v>
      </x:c>
      <x:c r="B4" t="n">
        <x:f>IF(AND(WORKLOAD!B14&gt;0,WORKLOAD!B20&gt;0),ROUNDUP(A4*WORKLOAD!B7/(WORKLOAD!B14*WORKLOAD!B20),0),0)</x:f>
        <x:v>1</x:v>
      </x:c>
      <x:c r="C4" t="n">
        <x:f>B4*WORKLOAD!B17</x:f>
        <x:v>2</x:v>
      </x:c>
      <x:c r="D4" t="n">
        <x:f>IF(AND(WORKLOAD!B15&gt;0,WORKLOAD!B21&gt;0),ROUNDUP(A4*WORKLOAD!B7/(WORKLOAD!B15*WORKLOAD!B21),0),0)</x:f>
        <x:v>1</x:v>
      </x:c>
      <x:c r="E4" t="n">
        <x:f>IF(AND(WORKLOAD!B16&gt;0,WORKLOAD!B22&gt;0),ROUNDUP(A4*WORKLOAD!B7/(WORKLOAD!B16*WORKLOAD!B22),0),0)</x:f>
        <x:v>1</x:v>
      </x:c>
      <x:c r="F4" t="n">
        <x:f>D4*WORKLOAD!B18+E4*WORKLOAD!B19</x:f>
        <x:v>4</x:v>
      </x:c>
      <x:c r="G4" s="56" t="n">
        <x:f>IF(((A4*WORKLOAD!B7/(WORKLOAD!B15*WORKLOAD!B21))*WORKLOAD!B18+(A4*WORKLOAD!B7/(WORKLOAD!B16*WORKLOAD!B22))*WORKLOAD!B19)&gt;0,(F4-((A4*WORKLOAD!B7/(WORKLOAD!B15*WORKLOAD!B21))*WORKLOAD!B18+(A4*WORKLOAD!B7/(WORKLOAD!B16*WORKLOAD!B22))*WORKLOAD!B19))/((A4*WORKLOAD!B7/(WORKLOAD!B15*WORKLOAD!B21))*WORKLOAD!B18+(A4*WORKLOAD!B7/(WORKLOAD!B16*WORKLOAD!B22))*WORKLOAD!B19),0)</x:f>
        <x:v>3.2666666666666666</x:v>
      </x:c>
      <x:c r="I4" t="n">
        <x:v>60</x:v>
      </x:c>
      <x:c r="J4" t="n">
        <x:f>WORKLOAD!B25+WORKLOAD!B23/(I4*1E9)*1000</x:f>
        <x:v>33.833333333333336</x:v>
      </x:c>
      <x:c r="K4" t="n">
        <x:f>MAX(0,J4-WORKLOAD!B26)</x:f>
        <x:v>21.833333333333336</x:v>
      </x:c>
      <x:c r="L4" t="str">
        <x:f>IF(AND(WORKLOAD!B27&gt;WORKLOAD!B25,I4&gt;=WORKLOAD!B23/((WORKLOAD!B27-WORKLOAD!B25)/1000)/1E9),"PASS","FAIL")</x:f>
        <x:v>FAIL</x:v>
      </x:c>
      <x:c r="M4" t="str">
        <x:f>IF(WORKLOAD!B30&gt;(K4+WORKLOAD!B28+WORKLOAD!B29),"S&gt;H","S&lt;=H")</x:f>
        <x:v>S&gt;H</x:v>
      </x:c>
    </x:row>
    <x:row r="5">
      <x:c r="A5" t="n">
        <x:v>2</x:v>
      </x:c>
      <x:c r="B5" t="n">
        <x:f>IF(AND(WORKLOAD!B14&gt;0,WORKLOAD!B20&gt;0),ROUNDUP(A5*WORKLOAD!B7/(WORKLOAD!B14*WORKLOAD!B20),0),0)</x:f>
        <x:v>2</x:v>
      </x:c>
      <x:c r="C5" t="n">
        <x:f>B5*WORKLOAD!B17</x:f>
        <x:v>4</x:v>
      </x:c>
      <x:c r="D5" t="n">
        <x:f>IF(AND(WORKLOAD!B15&gt;0,WORKLOAD!B21&gt;0),ROUNDUP(A5*WORKLOAD!B7/(WORKLOAD!B15*WORKLOAD!B21),0),0)</x:f>
        <x:v>1</x:v>
      </x:c>
      <x:c r="E5" t="n">
        <x:f>IF(AND(WORKLOAD!B16&gt;0,WORKLOAD!B22&gt;0),ROUNDUP(A5*WORKLOAD!B7/(WORKLOAD!B16*WORKLOAD!B22),0),0)</x:f>
        <x:v>1</x:v>
      </x:c>
      <x:c r="F5" t="n">
        <x:f>D5*WORKLOAD!B18+E5*WORKLOAD!B19</x:f>
        <x:v>4</x:v>
      </x:c>
      <x:c r="G5" s="56" t="n">
        <x:f>IF(((A5*WORKLOAD!B7/(WORKLOAD!B15*WORKLOAD!B21))*WORKLOAD!B18+(A5*WORKLOAD!B7/(WORKLOAD!B16*WORKLOAD!B22))*WORKLOAD!B19)&gt;0,(F5-((A5*WORKLOAD!B7/(WORKLOAD!B15*WORKLOAD!B21))*WORKLOAD!B18+(A5*WORKLOAD!B7/(WORKLOAD!B16*WORKLOAD!B22))*WORKLOAD!B19))/((A5*WORKLOAD!B7/(WORKLOAD!B15*WORKLOAD!B21))*WORKLOAD!B18+(A5*WORKLOAD!B7/(WORKLOAD!B16*WORKLOAD!B22))*WORKLOAD!B19),0)</x:f>
        <x:v>1.1333333333333333</x:v>
      </x:c>
      <x:c r="I5" t="n">
        <x:v>80</x:v>
      </x:c>
      <x:c r="J5" t="n">
        <x:f>WORKLOAD!B25+WORKLOAD!B23/(I5*1E9)*1000</x:f>
        <x:v>25.5</x:v>
      </x:c>
      <x:c r="K5" t="n">
        <x:f>MAX(0,J5-WORKLOAD!B26)</x:f>
        <x:v>13.5</x:v>
      </x:c>
      <x:c r="L5" t="str">
        <x:f>IF(AND(WORKLOAD!B27&gt;WORKLOAD!B25,I5&gt;=WORKLOAD!B23/((WORKLOAD!B27-WORKLOAD!B25)/1000)/1E9),"PASS","FAIL")</x:f>
        <x:v>FAIL</x:v>
      </x:c>
      <x:c r="M5" t="str">
        <x:f>IF(WORKLOAD!B30&gt;(K5+WORKLOAD!B28+WORKLOAD!B29),"S&gt;H","S&lt;=H")</x:f>
        <x:v>S&gt;H</x:v>
      </x:c>
    </x:row>
    <x:row r="6">
      <x:c r="A6" t="n">
        <x:v>4</x:v>
      </x:c>
      <x:c r="B6" t="n">
        <x:f>IF(AND(WORKLOAD!B14&gt;0,WORKLOAD!B20&gt;0),ROUNDUP(A6*WORKLOAD!B7/(WORKLOAD!B14*WORKLOAD!B20),0),0)</x:f>
        <x:v>3</x:v>
      </x:c>
      <x:c r="C6" t="n">
        <x:f>B6*WORKLOAD!B17</x:f>
        <x:v>6</x:v>
      </x:c>
      <x:c r="D6" t="n">
        <x:f>IF(AND(WORKLOAD!B15&gt;0,WORKLOAD!B21&gt;0),ROUNDUP(A6*WORKLOAD!B7/(WORKLOAD!B15*WORKLOAD!B21),0),0)</x:f>
        <x:v>1</x:v>
      </x:c>
      <x:c r="E6" t="n">
        <x:f>IF(AND(WORKLOAD!B16&gt;0,WORKLOAD!B22&gt;0),ROUNDUP(A6*WORKLOAD!B7/(WORKLOAD!B16*WORKLOAD!B22),0),0)</x:f>
        <x:v>2</x:v>
      </x:c>
      <x:c r="F6" t="n">
        <x:f>D6*WORKLOAD!B18+E6*WORKLOAD!B19</x:f>
        <x:v>6</x:v>
      </x:c>
      <x:c r="G6" s="56" t="n">
        <x:f>IF(((A6*WORKLOAD!B7/(WORKLOAD!B15*WORKLOAD!B21))*WORKLOAD!B18+(A6*WORKLOAD!B7/(WORKLOAD!B16*WORKLOAD!B22))*WORKLOAD!B19)&gt;0,(F6-((A6*WORKLOAD!B7/(WORKLOAD!B15*WORKLOAD!B21))*WORKLOAD!B18+(A6*WORKLOAD!B7/(WORKLOAD!B16*WORKLOAD!B22))*WORKLOAD!B19))/((A6*WORKLOAD!B7/(WORKLOAD!B15*WORKLOAD!B21))*WORKLOAD!B18+(A6*WORKLOAD!B7/(WORKLOAD!B16*WORKLOAD!B22))*WORKLOAD!B19),0)</x:f>
        <x:v>0.6</x:v>
      </x:c>
      <x:c r="I6" t="n">
        <x:v>100</x:v>
      </x:c>
      <x:c r="J6" t="n">
        <x:f>WORKLOAD!B25+WORKLOAD!B23/(I6*1E9)*1000</x:f>
        <x:v>20.5</x:v>
      </x:c>
      <x:c r="K6" t="n">
        <x:f>MAX(0,J6-WORKLOAD!B26)</x:f>
        <x:v>8.5</x:v>
      </x:c>
      <x:c r="L6" t="str">
        <x:f>IF(AND(WORKLOAD!B27&gt;WORKLOAD!B25,I6&gt;=WORKLOAD!B23/((WORKLOAD!B27-WORKLOAD!B25)/1000)/1E9),"PASS","FAIL")</x:f>
        <x:v>PASS</x:v>
      </x:c>
      <x:c r="M6" t="str">
        <x:f>IF(WORKLOAD!B30&gt;(K6+WORKLOAD!B28+WORKLOAD!B29),"S&gt;H","S&lt;=H")</x:f>
        <x:v>S&gt;H</x:v>
      </x:c>
    </x:row>
    <x:row r="7">
      <x:c r="A7" t="n">
        <x:v>5.6</x:v>
      </x:c>
      <x:c r="B7" t="n">
        <x:f>IF(AND(WORKLOAD!B14&gt;0,WORKLOAD!B20&gt;0),ROUNDUP(A7*WORKLOAD!B7/(WORKLOAD!B14*WORKLOAD!B20),0),0)</x:f>
        <x:v>4</x:v>
      </x:c>
      <x:c r="C7" t="n">
        <x:f>B7*WORKLOAD!B17</x:f>
        <x:v>8</x:v>
      </x:c>
      <x:c r="D7" t="n">
        <x:f>IF(AND(WORKLOAD!B15&gt;0,WORKLOAD!B21&gt;0),ROUNDUP(A7*WORKLOAD!B7/(WORKLOAD!B15*WORKLOAD!B21),0),0)</x:f>
        <x:v>1</x:v>
      </x:c>
      <x:c r="E7" t="n">
        <x:f>IF(AND(WORKLOAD!B16&gt;0,WORKLOAD!B22&gt;0),ROUNDUP(A7*WORKLOAD!B7/(WORKLOAD!B16*WORKLOAD!B22),0),0)</x:f>
        <x:v>2</x:v>
      </x:c>
      <x:c r="F7" t="n">
        <x:f>D7*WORKLOAD!B18+E7*WORKLOAD!B19</x:f>
        <x:v>6</x:v>
      </x:c>
      <x:c r="G7" s="56" t="n">
        <x:f>IF(((A7*WORKLOAD!B7/(WORKLOAD!B15*WORKLOAD!B21))*WORKLOAD!B18+(A7*WORKLOAD!B7/(WORKLOAD!B16*WORKLOAD!B22))*WORKLOAD!B19)&gt;0,(F7-((A7*WORKLOAD!B7/(WORKLOAD!B15*WORKLOAD!B21))*WORKLOAD!B18+(A7*WORKLOAD!B7/(WORKLOAD!B16*WORKLOAD!B22))*WORKLOAD!B19))/((A7*WORKLOAD!B7/(WORKLOAD!B15*WORKLOAD!B21))*WORKLOAD!B18+(A7*WORKLOAD!B7/(WORKLOAD!B16*WORKLOAD!B22))*WORKLOAD!B19),0)</x:f>
        <x:v>0.14285714285714304</x:v>
      </x:c>
      <x:c r="I7" t="n">
        <x:v>160</x:v>
      </x:c>
      <x:c r="J7" t="n">
        <x:f>WORKLOAD!B25+WORKLOAD!B23/(I7*1E9)*1000</x:f>
        <x:v>13</x:v>
      </x:c>
      <x:c r="K7" t="n">
        <x:f>MAX(0,J7-WORKLOAD!B26)</x:f>
        <x:v>1</x:v>
      </x:c>
      <x:c r="L7" t="str">
        <x:f>IF(AND(WORKLOAD!B27&gt;WORKLOAD!B25,I7&gt;=WORKLOAD!B23/((WORKLOAD!B27-WORKLOAD!B25)/1000)/1E9),"PASS","FAIL")</x:f>
        <x:v>PASS</x:v>
      </x:c>
      <x:c r="M7" t="str">
        <x:f>IF(WORKLOAD!B30&gt;(K7+WORKLOAD!B28+WORKLOAD!B29),"S&gt;H","S&lt;=H")</x:f>
        <x:v>S&gt;H</x:v>
      </x:c>
    </x:row>
    <x:row r="8">
      <x:c r="A8" t="n">
        <x:v>7</x:v>
      </x:c>
      <x:c r="B8" t="n">
        <x:f>IF(AND(WORKLOAD!B14&gt;0,WORKLOAD!B20&gt;0),ROUNDUP(A8*WORKLOAD!B7/(WORKLOAD!B14*WORKLOAD!B20),0),0)</x:f>
        <x:v>5</x:v>
      </x:c>
      <x:c r="C8" t="n">
        <x:f>B8*WORKLOAD!B17</x:f>
        <x:v>10</x:v>
      </x:c>
      <x:c r="D8" t="n">
        <x:f>IF(AND(WORKLOAD!B15&gt;0,WORKLOAD!B21&gt;0),ROUNDUP(A8*WORKLOAD!B7/(WORKLOAD!B15*WORKLOAD!B21),0),0)</x:f>
        <x:v>2</x:v>
      </x:c>
      <x:c r="E8" t="n">
        <x:f>IF(AND(WORKLOAD!B16&gt;0,WORKLOAD!B22&gt;0),ROUNDUP(A8*WORKLOAD!B7/(WORKLOAD!B16*WORKLOAD!B22),0),0)</x:f>
        <x:v>3</x:v>
      </x:c>
      <x:c r="F8" t="n">
        <x:f>D8*WORKLOAD!B18+E8*WORKLOAD!B19</x:f>
        <x:v>10</x:v>
      </x:c>
      <x:c r="G8" s="56" t="n">
        <x:f>IF(((A8*WORKLOAD!B7/(WORKLOAD!B15*WORKLOAD!B21))*WORKLOAD!B18+(A8*WORKLOAD!B7/(WORKLOAD!B16*WORKLOAD!B22))*WORKLOAD!B19)&gt;0,(F8-((A8*WORKLOAD!B7/(WORKLOAD!B15*WORKLOAD!B21))*WORKLOAD!B18+(A8*WORKLOAD!B7/(WORKLOAD!B16*WORKLOAD!B22))*WORKLOAD!B19))/((A8*WORKLOAD!B7/(WORKLOAD!B15*WORKLOAD!B21))*WORKLOAD!B18+(A8*WORKLOAD!B7/(WORKLOAD!B16*WORKLOAD!B22))*WORKLOAD!B19),0)</x:f>
        <x:v>0.5238095238095238</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9" hidden="0" customWidth="1"/>
    <x:col min="2" max="2" width="20" hidden="0" customWidth="1"/>
    <x:col min="3" max="3" width="45" hidden="0" customWidth="1"/>
    <x:col min="4" max="4" width="82" hidden="0" customWidth="1"/>
    <x:col min="5" max="5" width="15" hidden="0" customWidth="1"/>
    <x:col min="6" max="6" width="64" hidden="0" customWidth="1"/>
    <x:col min="7" max="7" width="64" hidden="0" customWidth="1"/>
  </x:cols>
  <x:sheetData>
    <x:row r="1">
      <x:c r="A1" s="26" t="str">
        <x:v>ID</x:v>
      </x:c>
      <x:c r="B1" s="26" t="str">
        <x:v>Organization</x:v>
      </x:c>
      <x:c r="C1" s="26" t="str">
        <x:v>Document</x:v>
      </x:c>
      <x:c r="D1" s="26" t="str">
        <x:v>URL</x:v>
      </x:c>
      <x:c r="E1" s="26" t="str">
        <x:v>Accessed</x:v>
      </x:c>
      <x:c r="F1" s="26" t="str">
        <x:v>Supports</x:v>
      </x:c>
      <x:c r="G1" s="26" t="str">
        <x:v>Limitations</x:v>
      </x:c>
    </x:row>
    <x:row r="2">
      <x:c r="A2" s="25" t="str">
        <x:v>S01</x:v>
      </x:c>
      <x:c r="B2" s="25" t="str">
        <x:v>NVIDIA Dynamo</x:v>
      </x:c>
      <x:c r="C2" s="25" t="str">
        <x:v>Disaggregated Serving — user guide</x:v>
      </x:c>
      <x:c r="D2" s="25" t="str">
        <x:v>https://docs.nvidia.com/dynamo/latest/user-guides/disaggregated-serving</x:v>
      </x:c>
      <x:c r="E2" s="25" t="str">
        <x:v>2026-08-10</x:v>
      </x:c>
      <x:c r="F2" s="25" t="str">
        <x:v>Aggregated vs disaggregated architecture; when it may help; KV path/RDMA criticality</x:v>
      </x:c>
      <x:c r="G2" s="25" t="str">
        <x:v>Does not provide universal break-even; benchmark buyer workload.</x:v>
      </x:c>
    </x:row>
    <x:row r="3">
      <x:c r="A3" s="25" t="str">
        <x:v>S02</x:v>
      </x:c>
      <x:c r="B3" s="25" t="str">
        <x:v>NVIDIA Dynamo</x:v>
      </x:c>
      <x:c r="C3" s="25" t="str">
        <x:v>Disaggregated Serving — design docs</x:v>
      </x:c>
      <x:c r="D3" s="25" t="str">
        <x:v>https://docs.nvidia.com/dynamo/dev/knowledge-base/concepts/system-architecture/disaggregated-serving</x:v>
      </x:c>
      <x:c r="E3" s="25" t="str">
        <x:v>2026-08-10</x:v>
      </x:c>
      <x:c r="F3" s="25" t="str">
        <x:v>NIXL transfer, runtime-reconfigurable xPyD, low-load fragmentation, decode memory tradeoff</x:v>
      </x:c>
      <x:c r="G3" s="25" t="str">
        <x:v>Implementation-specific Dynamo behavior.</x:v>
      </x:c>
    </x:row>
    <x:row r="4">
      <x:c r="A4" s="25" t="str">
        <x:v>S03</x:v>
      </x:c>
      <x:c r="B4" s="25" t="str">
        <x:v>NVIDIA Dynamo</x:v>
      </x:c>
      <x:c r="C4" s="25" t="str">
        <x:v>Sizing with AIConfigurator</x:v>
      </x:c>
      <x:c r="D4" s="25" t="str">
        <x:v>https://docs.nvidia.com/dynamo/dev/user-guides/disaggregated-serving/sizing-with-ai-configurator</x:v>
      </x:c>
      <x:c r="E4" s="25" t="str">
        <x:v>2026-08-10</x:v>
      </x:c>
      <x:c r="F4" s="25" t="str">
        <x:v>Search aggregated/disaggregated layouts against ISL/OSL/TTFT/TPOT and GPU budget</x:v>
      </x:c>
      <x:c r="G4" s="25" t="str">
        <x:v>Predictions are starting points; production benchmark required.</x:v>
      </x:c>
    </x:row>
    <x:row r="5">
      <x:c r="A5" s="25" t="str">
        <x:v>S04</x:v>
      </x:c>
      <x:c r="B5" s="25" t="str">
        <x:v>vLLM</x:v>
      </x:c>
      <x:c r="C5" s="25" t="str">
        <x:v>Disaggregated Prefilling (experimental)</x:v>
      </x:c>
      <x:c r="D5" s="25" t="str">
        <x:v>https://docs.vllm.ai/en/stable/features/disagg_prefill/</x:v>
      </x:c>
      <x:c r="E5" s="25" t="str">
        <x:v>2026-08-10</x:v>
      </x:c>
      <x:c r="F5" s="25" t="str">
        <x:v>Separate vLLM instances, separate TTFT/ITL tuning, current connector support, experimental status</x:v>
      </x:c>
      <x:c r="G5" s="25" t="str">
        <x:v>vLLM page explicitly says feature does not improve throughput; scope is vLLM feature behavior.</x:v>
      </x:c>
    </x:row>
    <x:row r="6">
      <x:c r="A6" s="25" t="str">
        <x:v>S05</x:v>
      </x:c>
      <x:c r="B6" s="25" t="str">
        <x:v>TensorRT-LLM</x:v>
      </x:c>
      <x:c r="C6" s="25" t="str">
        <x:v>Disaggregated Serving</x:v>
      </x:c>
      <x:c r="D6" s="25" t="str">
        <x:v>https://nvidia.github.io/TensorRT-LLM/features/disagg-serving.html</x:v>
      </x:c>
      <x:c r="E6" s="25" t="str">
        <x:v>2026-08-10</x:v>
      </x:c>
      <x:c r="F6" s="25" t="str">
        <x:v>Aggregated vs disaggregated, NIXL backends, KV transfer overlap optimization</x:v>
      </x:c>
      <x:c r="G6" s="25" t="str">
        <x:v>TRT-LLM-specific implementation.</x:v>
      </x:c>
    </x:row>
    <x:row r="7">
      <x:c r="A7" s="25" t="str">
        <x:v>S06</x:v>
      </x:c>
      <x:c r="B7" s="25" t="str">
        <x:v>SGLang</x:v>
      </x:c>
      <x:c r="C7" s="25" t="str">
        <x:v>PD Disaggregation</x:v>
      </x:c>
      <x:c r="D7" s="25" t="str">
        <x:v>https://docs.sglang.ai/backend/pd_disaggregation.html</x:v>
      </x:c>
      <x:c r="E7" s="25" t="str">
        <x:v>2026-08-10</x:v>
      </x:c>
      <x:c r="F7" s="25" t="str">
        <x:v>Unified-scheduling interference mechanism; NIXL/Mooncake transfer support</x:v>
      </x:c>
      <x:c r="G7" s="25" t="str">
        <x:v>SGLang-specific; tendency language not universal law.</x:v>
      </x:c>
    </x:row>
    <x:row r="8">
      <x:c r="A8" s="25" t="str">
        <x:v>S07</x:v>
      </x:c>
      <x:c r="B8" s="25" t="str">
        <x:v>NVIDIA Dynamo</x:v>
      </x:c>
      <x:c r="C8" s="25" t="str">
        <x:v>SGLang Disaggregation backend guide</x:v>
      </x:c>
      <x:c r="D8" s="25" t="str">
        <x:v>https://docs.nvidia.com/dynamo/latest/backends/sg-lang/disaggregation</x:v>
      </x:c>
      <x:c r="E8" s="25" t="str">
        <x:v>2026-08-10</x:v>
      </x:c>
      <x:c r="F8" s="25" t="str">
        <x:v>RDMA bootstrap and direct KV transfer flow for SGLang+Dynamo</x:v>
      </x:c>
      <x:c r="G8" s="25" t="str">
        <x:v>Backend-specific.</x:v>
      </x:c>
    </x:row>
    <x:row r="9">
      <x:c r="A9" s="25" t="str">
        <x:v>S08</x:v>
      </x:c>
      <x:c r="B9" s="25" t="str">
        <x:v>NIXL</x:v>
      </x:c>
      <x:c r="C9" s="25" t="str">
        <x:v>NIXL design</x:v>
      </x:c>
      <x:c r="D9" s="25" t="str">
        <x:v>https://github.com/ai-dynamo/nixl/blob/main/docs/nixl.md</x:v>
      </x:c>
      <x:c r="E9" s="25" t="str">
        <x:v>2026-08-10</x:v>
      </x:c>
      <x:c r="F9" s="25" t="str">
        <x:v>Asynchronous transfer agent and multi-backend data movement abstraction</x:v>
      </x:c>
      <x:c r="G9" s="25" t="str">
        <x:v>Does not give universal KV transfer latency/bandwidth.</x:v>
      </x:c>
    </x:row>
    <x:row r="10">
      <x:c r="A10" s="25" t="str">
        <x:v>S09</x:v>
      </x:c>
      <x:c r="B10" s="25" t="str">
        <x:v>NVIDIA Dynamo</x:v>
      </x:c>
      <x:c r="C10" s="25" t="str">
        <x:v>Planner</x:v>
      </x:c>
      <x:c r="D10" s="25" t="str">
        <x:v>https://docs.nvidia.com/dynamo/components/planner</x:v>
      </x:c>
      <x:c r="E10" s="25" t="str">
        <x:v>2026-08-10</x:v>
      </x:c>
      <x:c r="F10" s="25" t="str">
        <x:v>Throughput/load-based scaling can support aggregated and disaggregated deployments</x:v>
      </x:c>
      <x:c r="G10" s="25" t="str">
        <x:v>Planner estimates depend on perf shim/profile data.</x:v>
      </x:c>
    </x:row>
    <x:row r="11">
      <x:c r="A11" s="25" t="str">
        <x:v>S10</x:v>
      </x:c>
      <x:c r="B11" s="25" t="str">
        <x:v>NVIDIA Dynamo</x:v>
      </x:c>
      <x:c r="C11" s="25" t="str">
        <x:v>Planner DynoSim Benchmarking</x:v>
      </x:c>
      <x:c r="D11" s="25" t="str">
        <x:v>https://docs.nvidia.com/dynamo/dev/user-guides/dynosim/planner-benchmarking</x:v>
      </x:c>
      <x:c r="E11" s="25" t="str">
        <x:v>2026-08-10</x:v>
      </x:c>
      <x:c r="F11" s="25" t="str">
        <x:v>Trace replay can compare aggregated/disaggregated topology and SLA behavior</x:v>
      </x:c>
      <x:c r="G11" s="25" t="str">
        <x:v>Simulation/replay tool; not public universal benchmark.</x:v>
      </x:c>
    </x:row>
    <x:row r="12">
      <x:c r="A12" s="25"/>
      <x:c r="B12" s="25"/>
      <x:c r="C12" s="25"/>
      <x:c r="D12" s="25"/>
      <x:c r="E12" s="25"/>
      <x:c r="F12" s="25"/>
      <x:c r="G12" s="25"/>
    </x:row>
    <x:row r="13">
      <x:c r="A13" s="25"/>
      <x:c r="B13" s="25"/>
      <x:c r="C13" s="25"/>
      <x:c r="D13" s="25"/>
      <x:c r="E13" s="25"/>
      <x:c r="F13" s="25"/>
      <x:c r="G13" s="25"/>
    </x:row>
    <x:row r="14">
      <x:c r="A14" s="25"/>
      <x:c r="B14" s="25"/>
      <x:c r="C14" s="25"/>
      <x:c r="D14" s="25"/>
      <x:c r="E14" s="25"/>
      <x:c r="F14" s="25"/>
      <x:c r="G14" s="25"/>
    </x:row>
  </x:sheetData>
  <x:pageMargins left="0.7" right="0.7" top="0.75" bottom="0.75" header="0.3" footer="0.3"/>
</x:worksheet>
</file>